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ebe5450ddf46b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_Here" sheetId="1" r:id="R06e1be4e42384054"/>
    <x:sheet xmlns:r="http://schemas.openxmlformats.org/officeDocument/2006/relationships" name="Dashboard" sheetId="2" r:id="R7bfece57b28f409d"/>
    <x:sheet xmlns:r="http://schemas.openxmlformats.org/officeDocument/2006/relationships" name="Settings" sheetId="3" r:id="R596aec9545004984"/>
    <x:sheet xmlns:r="http://schemas.openxmlformats.org/officeDocument/2006/relationships" name="Programs" sheetId="4" r:id="R5f392692f9d64149"/>
    <x:sheet xmlns:r="http://schemas.openxmlformats.org/officeDocument/2006/relationships" name="Exercise_Cache" sheetId="5" r:id="R21efd4620ae14063"/>
    <x:sheet xmlns:r="http://schemas.openxmlformats.org/officeDocument/2006/relationships" name="Alternatives" sheetId="6" r:id="R112016ae23d941bf"/>
    <x:sheet xmlns:r="http://schemas.openxmlformats.org/officeDocument/2006/relationships" name="Ingredient_Cache" sheetId="7" r:id="R15520e33e242490e"/>
    <x:sheet xmlns:r="http://schemas.openxmlformats.org/officeDocument/2006/relationships" name="Recipes" sheetId="8" r:id="R4a4abbb75cbc4fe6"/>
    <x:sheet xmlns:r="http://schemas.openxmlformats.org/officeDocument/2006/relationships" name="Recipe_Ingredients" sheetId="9" r:id="R7105d38d2c164463"/>
    <x:sheet xmlns:r="http://schemas.openxmlformats.org/officeDocument/2006/relationships" name="Workout_Sessions" sheetId="10" r:id="Rf6a32f76bd864f79"/>
    <x:sheet xmlns:r="http://schemas.openxmlformats.org/officeDocument/2006/relationships" name="Workout_Sets" sheetId="11" r:id="Rb0c5e6bcfb414e09"/>
    <x:sheet xmlns:r="http://schemas.openxmlformats.org/officeDocument/2006/relationships" name="Food_Log" sheetId="12" r:id="R332e1cf080f041f5"/>
    <x:sheet xmlns:r="http://schemas.openxmlformats.org/officeDocument/2006/relationships" name="Body_Metrics" sheetId="13" r:id="Re417d8ee632d43ce"/>
    <x:sheet xmlns:r="http://schemas.openxmlformats.org/officeDocument/2006/relationships" name="Daily_Checkins" sheetId="14" r:id="R2118530ade8c453e"/>
    <x:sheet xmlns:r="http://schemas.openxmlformats.org/officeDocument/2006/relationships" name="Diet_Phases" sheetId="15" r:id="R9d8ff94f02594250"/>
    <x:sheet xmlns:r="http://schemas.openxmlformats.org/officeDocument/2006/relationships" name="Cardio_Log" sheetId="16" r:id="R318c4edcbf7d418d"/>
    <x:sheet xmlns:r="http://schemas.openxmlformats.org/officeDocument/2006/relationships" name="Progress_Photos" sheetId="17" r:id="R53030390d55143cd"/>
    <x:sheet xmlns:r="http://schemas.openxmlformats.org/officeDocument/2006/relationships" name="Sync_Config" sheetId="18" r:id="Raa5901521005455a"/>
    <x:sheet xmlns:r="http://schemas.openxmlformats.org/officeDocument/2006/relationships" name="App_State" sheetId="19" r:id="R845a75d25d834b3b"/>
    <x:sheet xmlns:r="http://schemas.openxmlformats.org/officeDocument/2006/relationships" name="Weekly_Review" sheetId="20" r:id="R7f8f0f9d7f6d4b65"/>
    <x:sheet xmlns:r="http://schemas.openxmlformats.org/officeDocument/2006/relationships" name="Lookup" sheetId="21" r:id="R12e81618168e4ba9"/>
    <x:sheet xmlns:r="http://schemas.openxmlformats.org/officeDocument/2006/relationships" name="Equipment_Catalog" sheetId="22" r:id="R1973bd30165e448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"/>
    <x:numFmt numFmtId="201" formatCode="dd-mmm"/>
    <x:numFmt numFmtId="202" formatCode="yyyy-mm-dd"/>
    <x:numFmt numFmtId="203" formatCode="yyyy-mm-dd hh:mm"/>
  </x:numFmts>
  <x:fonts count="7">
    <x:font>
      <x:sz val="11"/>
      <x:name val="Carlito"/>
    </x:font>
    <x:font>
      <x:b/>
      <x:sz val="18"/>
      <x:color rgb="FFFFFFFF"/>
      <x:name val="Carlito"/>
    </x:font>
    <x:font>
      <x:b/>
      <x:sz val="11"/>
      <x:color rgb="FF064E3B"/>
      <x:name val="Carlito"/>
    </x:font>
    <x:font>
      <x:b/>
      <x:sz val="11"/>
      <x:color rgb="FFFFFFFF"/>
      <x:name val="Carlito"/>
    </x:font>
    <x:font>
      <x:b/>
      <x:sz val="15"/>
      <x:color rgb="FF10221F"/>
      <x:name val="Carlito"/>
    </x:font>
    <x:font>
      <x:b/>
      <x:sz val="16"/>
      <x:color rgb="FFFFFFFF"/>
      <x:name val="Carlito"/>
    </x:font>
    <x:font>
      <x:b/>
      <x:sz val="11"/>
      <x:color rgb="FF134E4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064E3B"/>
      </x:patternFill>
    </x:fill>
    <x:fill>
      <x:patternFill patternType="solid">
        <x:fgColor rgb="FFE6F4F1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0F766E"/>
      </x:patternFill>
    </x:fill>
    <x:fill>
      <x:patternFill patternType="solid">
        <x:fgColor rgb="FFDFF4EF"/>
      </x:patternFill>
    </x:fill>
  </x:fills>
  <x:borders count="10">
    <x:border/>
    <x:border/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</x:borders>
  <x:cellStyleXfs count="1">
    <x:xf numFmtId="0" fontId="0" fillId="0" borderId="0"/>
  </x:cellStyleXfs>
  <x:cellXfs count="10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right"/>
    </x:xf>
    <x:xf numFmtId="0" fontId="4" fillId="5" borderId="0" xfId="0" applyNumberFormat="1" applyFont="1" applyFill="1" applyBorder="1" applyAlignment="1">
      <x:alignment horizontal="right" vertical="center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horizontal="right"/>
    </x:xf>
    <x:xf numFmtId="0" fontId="4" fillId="5" borderId="1" xfId="0" applyNumberFormat="1" applyFont="1" applyFill="1" applyBorder="1" applyAlignment="1">
      <x:alignment horizontal="right" vertical="center"/>
    </x:xf>
    <x:xf numFmtId="200" fontId="4" fillId="5" borderId="0" xfId="0" applyNumberFormat="1" applyFont="1" applyFill="1" applyBorder="1" applyAlignment="1">
      <x:alignment horizontal="right" vertical="center"/>
    </x:xf>
    <x:xf numFmtId="200" fontId="4" fillId="5" borderId="1" xfId="0" applyNumberFormat="1" applyFont="1" applyFill="1" applyBorder="1" applyAlignment="1">
      <x:alignment horizontal="right" vertical="center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2" fontId="3" fillId="4" borderId="0" xfId="0" applyNumberFormat="1" applyFont="1" applyFill="1" applyBorder="1" applyAlignment="1">
      <x:alignment horizontal="center" vertical="center" wrapText="1"/>
    </x:xf>
    <x:xf numFmtId="202" fontId="3" fillId="4" borderId="1" xfId="0" applyNumberFormat="1" applyFont="1" applyFill="1" applyBorder="1" applyAlignment="1">
      <x:alignment horizontal="center" vertical="center"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0" fillId="0" borderId="0" xfId="0" applyNumberFormat="1" applyFont="1" applyFill="1" applyBorder="1"/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6" borderId="0" xfId="0" applyNumberFormat="1" applyFont="1" applyFill="1" applyBorder="1" applyAlignment="1">
      <x:alignment horizontal="left" vertical="center"/>
    </x:xf>
    <x:xf numFmtId="0" fontId="5" fillId="6" borderId="0" xfId="0" applyNumberFormat="1" applyFont="1" applyFill="1" applyBorder="1" applyAlignment="1">
      <x:alignment horizontal="left" vertical="center"/>
    </x:xf>
    <x:xf numFmtId="0" fontId="2" fillId="7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 applyAlignment="1">
      <x:alignment vertical="center"/>
    </x:xf>
    <x:xf numFmtId="0" fontId="6" fillId="7" borderId="0" xfId="0" applyNumberFormat="1" applyFont="1" applyFill="1" applyBorder="1"/>
    <x:xf numFmtId="0" fontId="5" fillId="6" borderId="0" xfId="0" applyNumberFormat="1" applyFont="1" applyFill="1" applyBorder="1" applyAlignment="1">
      <x:alignment horizontal="left"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xfId="0" applyNumberFormat="1" applyFont="1" applyFill="1" applyBorder="0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xfId="0" applyNumberFormat="1" applyFont="1" applyFill="1" applyBorder="0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5" xfId="0" applyNumberFormat="1" applyFont="1" applyFill="1" applyBorder="1"/>
    <x:xf numFmtId="0" fontId="0" fillId="0" xfId="0" applyNumberFormat="1" applyFont="1" applyFill="1" applyBorder="0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8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0" fillId="0" borderId="4" xfId="0" applyNumberFormat="1" applyFont="1" applyFill="1" applyBorder="1" applyAlignment="1">
      <x:alignment wrapText="1"/>
    </x:xf>
    <x:xf numFmtId="203" fontId="0" fillId="0" borderId="6" xfId="0" applyNumberFormat="1" applyFont="1" applyFill="1" applyBorder="1" applyAlignment="1">
      <x:alignment wrapText="1"/>
    </x:xf>
    <x:xf numFmtId="203" fontId="0" fillId="0" borderId="9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0" fillId="0" borderId="3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4" xfId="0" applyNumberFormat="1" applyFont="1" applyFill="1" applyBorder="1"/>
    <x:xf numFmtId="0" fontId="0" fillId="0" xfId="0" applyNumberFormat="1" applyFont="1" applyFill="1" applyBorder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8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6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9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4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6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9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0" fillId="0" borderId="3" xfId="0" applyNumberFormat="1" applyFont="1" applyFill="1" applyBorder="1" applyAlignment="1">
      <x:alignment wrapText="1"/>
    </x:xf>
    <x:xf numFmtId="203" fontId="0" fillId="0" xfId="0" applyNumberFormat="1" applyFont="1" applyFill="1" applyBorder="0"/>
    <x:xf numFmtId="203" fontId="0" fillId="0" borderId="8" xfId="0" applyNumberFormat="1" applyFont="1" applyFill="1" applyBorder="1"/>
  </x:cellXfs>
  <x:cellStyles count="1">
    <x:cellStyle name="Normal" xfId="0"/>
  </x:cellStyles>
  <x:dxfs count="1">
    <x:dxf>
      <x:fill>
        <x:patternFill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034926a079481f" /><Relationship Type="http://schemas.openxmlformats.org/officeDocument/2006/relationships/theme" Target="/xl/theme/theme1.xml" Id="Redbc1f9e2a1a45e6" /><Relationship Type="http://schemas.microsoft.com/office/2022/11/relationships/FeaturePropertyBag" Target="/xl/featurePropertyBag/featurePropertyBag.xml" Id="R83d353c7d3e54570" /><Relationship Type="http://schemas.openxmlformats.org/officeDocument/2006/relationships/sharedStrings" Target="/xl/sharedStrings.xml" Id="R83d2d5ef873e47bd" /><Relationship Type="http://schemas.openxmlformats.org/officeDocument/2006/relationships/worksheet" Target="/xl/worksheets/sheet1.xml" Id="R06e1be4e42384054" /><Relationship Type="http://schemas.openxmlformats.org/officeDocument/2006/relationships/worksheet" Target="/xl/worksheets/sheet2.xml" Id="R7bfece57b28f409d" /><Relationship Type="http://schemas.openxmlformats.org/officeDocument/2006/relationships/worksheet" Target="/xl/worksheets/sheet3.xml" Id="R596aec9545004984" /><Relationship Type="http://schemas.openxmlformats.org/officeDocument/2006/relationships/worksheet" Target="/xl/worksheets/sheet4.xml" Id="R5f392692f9d64149" /><Relationship Type="http://schemas.openxmlformats.org/officeDocument/2006/relationships/worksheet" Target="/xl/worksheets/sheet5.xml" Id="R21efd4620ae14063" /><Relationship Type="http://schemas.openxmlformats.org/officeDocument/2006/relationships/worksheet" Target="/xl/worksheets/sheet6.xml" Id="R112016ae23d941bf" /><Relationship Type="http://schemas.openxmlformats.org/officeDocument/2006/relationships/worksheet" Target="/xl/worksheets/sheet7.xml" Id="R15520e33e242490e" /><Relationship Type="http://schemas.openxmlformats.org/officeDocument/2006/relationships/worksheet" Target="/xl/worksheets/sheet8.xml" Id="R4a4abbb75cbc4fe6" /><Relationship Type="http://schemas.openxmlformats.org/officeDocument/2006/relationships/worksheet" Target="/xl/worksheets/sheet9.xml" Id="R7105d38d2c164463" /><Relationship Type="http://schemas.openxmlformats.org/officeDocument/2006/relationships/worksheet" Target="/xl/worksheets/sheet10.xml" Id="Rf6a32f76bd864f79" /><Relationship Type="http://schemas.openxmlformats.org/officeDocument/2006/relationships/worksheet" Target="/xl/worksheets/sheet11.xml" Id="Rb0c5e6bcfb414e09" /><Relationship Type="http://schemas.openxmlformats.org/officeDocument/2006/relationships/worksheet" Target="/xl/worksheets/sheet12.xml" Id="R332e1cf080f041f5" /><Relationship Type="http://schemas.openxmlformats.org/officeDocument/2006/relationships/worksheet" Target="/xl/worksheets/sheet13.xml" Id="Re417d8ee632d43ce" /><Relationship Type="http://schemas.openxmlformats.org/officeDocument/2006/relationships/worksheet" Target="/xl/worksheets/sheet14.xml" Id="R2118530ade8c453e" /><Relationship Type="http://schemas.openxmlformats.org/officeDocument/2006/relationships/worksheet" Target="/xl/worksheets/sheet15.xml" Id="R9d8ff94f02594250" /><Relationship Type="http://schemas.openxmlformats.org/officeDocument/2006/relationships/worksheet" Target="/xl/worksheets/sheet16.xml" Id="R318c4edcbf7d418d" /><Relationship Type="http://schemas.openxmlformats.org/officeDocument/2006/relationships/worksheet" Target="/xl/worksheets/sheet17.xml" Id="R53030390d55143cd" /><Relationship Type="http://schemas.openxmlformats.org/officeDocument/2006/relationships/worksheet" Target="/xl/worksheets/sheet18.xml" Id="Raa5901521005455a" /><Relationship Type="http://schemas.openxmlformats.org/officeDocument/2006/relationships/worksheet" Target="/xl/worksheets/sheet19.xml" Id="R845a75d25d834b3b" /><Relationship Type="http://schemas.openxmlformats.org/officeDocument/2006/relationships/worksheet" Target="/xl/worksheets/sheet20.xml" Id="R7f8f0f9d7f6d4b65" /><Relationship Type="http://schemas.openxmlformats.org/officeDocument/2006/relationships/worksheet" Target="/xl/worksheets/sheet21.xml" Id="R12e81618168e4ba9" /><Relationship Type="http://schemas.openxmlformats.org/officeDocument/2006/relationships/worksheet" Target="/xl/worksheets/sheet22.xml" Id="R1973bd30165e448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f45ccbf0b3143c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Weekly training volume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Volume kg</c:v>
          </c:tx>
          <c:cat>
            <c:strRef>
              <c:f>'Dashboard'!$A$15:$A$22</c:f>
              <c:strCache>
                <c:ptCount val="0"/>
              </c:strCache>
            </c:strRef>
          </c:cat>
          <c:val>
            <c:numRef>
              <c:f>'Dashboard'!$B$15:$B$22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dd-mmm" sourceLinked="0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12</xdr:row>
      <xdr:rowOff>0</xdr:rowOff>
    </xdr:from>
    <xdr:to>
      <xdr:col>12</xdr:col>
      <xdr:colOff>0</xdr:colOff>
      <xdr:row>28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f45ccbf0b3143cd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d6b3be7c53a34da8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76" hidden="0" customWidth="1"/>
  </x:cols>
  <x:sheetData>
    <x:row r="1" ht="30" customHeight="1">
      <x:c r="A1" s="60" t="str">
        <x:v>Lift &amp; Cut 2.2 – Mobile App + Google Sheets Database</x:v>
      </x:c>
      <x:c r="B1" s="60"/>
      <x:c r="C1" s="5"/>
      <x:c r="D1" s="5"/>
      <x:c r="E1" s="5"/>
      <x:c r="F1" s="5"/>
    </x:row>
    <x:row r="2">
      <x:c r="A2" s="16"/>
      <x:c r="B2" s="16"/>
    </x:row>
    <x:row r="3">
      <x:c r="A3" s="61" t="str">
        <x:v>What this is</x:v>
      </x:c>
      <x:c r="B3" s="16" t="str">
        <x:v>A mobile-first fitness tracker plus a normalized spreadsheet database. The phone app is the main interface; this workbook is the cloud database, review tool, and manual-edit interface.</x:v>
      </x:c>
    </x:row>
    <x:row r="4">
      <x:c r="A4" s="61" t="str">
        <x:v>Equipment-aware training</x:v>
      </x:c>
      <x:c r="B4" s="16" t="str">
        <x:v>Select equipment in the phone app or in Equipment_Catalog. Exercise choices, substitutions, workout warnings, and equipment-matched program copies use structured equipment requirements.</x:v>
      </x:c>
    </x:row>
    <x:row r="5">
      <x:c r="A5" s="61" t="str">
        <x:v>First setup</x:v>
      </x:c>
      <x:c r="B5" s="16" t="str">
        <x:v>1) Import this workbook into Google Sheets. 2) Open Extensions &gt; Apps Script. 3) Paste the v2.2 Code.gs. 4) Run initialiseFitnessDatabase. 5) Deploy as a Web App. 6) Enter the /exec URL and private key in the phone app.</x:v>
      </x:c>
    </x:row>
    <x:row r="6">
      <x:c r="A6" s="61" t="str">
        <x:v>Existing installation</x:v>
      </x:c>
      <x:c r="B6" s="16" t="str">
        <x:v>Replace Code.gs with the v2.2 script, save, run initialiseFitnessDatabase, then create a new web-app deployment version. The private key remains unchanged.</x:v>
      </x:c>
    </x:row>
    <x:row r="7">
      <x:c r="A7" s="61" t="str">
        <x:v>Editing equipment in Sheets</x:v>
      </x:c>
      <x:c r="B7" s="16" t="str">
        <x:v>Set Selected to TRUE/FALSE in Equipment_Catalog, then use Lift &amp; Cut &gt; Rebuild app state from edited tables. Pull &amp; merge on the phone before making a new phone push.</x:v>
      </x:c>
    </x:row>
    <x:row r="8">
      <x:c r="A8" s="61" t="str">
        <x:v>Editing exercises in Sheets</x:v>
      </x:c>
      <x:c r="B8" s="16" t="str">
        <x:v>EquipmentOptionsJSON is a JSON array of valid equipment bundles. Example: [["Barbell + plates","Power rack / squat stands"],["Dumbbells"]]. Each inner array is one complete valid setup.</x:v>
      </x:c>
    </x:row>
    <x:row r="9">
      <x:c r="A9" s="61" t="str">
        <x:v>Normal workflow</x:v>
      </x:c>
      <x:c r="B9" s="16" t="str">
        <x:v>Log workouts, food, recipes, measurements, check-ins, cardio, and diet phases in the phone app. Push to Sheets when you want a cloud backup and spreadsheet refresh.</x:v>
      </x:c>
    </x:row>
    <x:row r="10">
      <x:c r="A10" s="61" t="str">
        <x:v>Conflict safety</x:v>
      </x:c>
      <x:c r="B10" s="16" t="str">
        <x:v>The backend uses cloud revisions. If both the spreadsheet and phone changed, the app blocks a normal push until you pull and merge or deliberately force the phone copy.</x:v>
      </x:c>
    </x:row>
    <x:row r="11">
      <x:c r="A11" s="61" t="str">
        <x:v>Photos</x:v>
      </x:c>
      <x:c r="B11" s="16" t="str">
        <x:v>Progress-photo files stay on the phone and are not placed in Google Sheets. Their metadata appears in Progress_Photos. Full JSON backup includes the compressed photos.</x:v>
      </x:c>
    </x:row>
    <x:row r="12">
      <x:c r="A12" s="61" t="str">
        <x:v>RFL</x:v>
      </x:c>
      <x:c r="B12" s="16" t="str">
        <x:v>RFL targets are intentionally blank. Enter only values calculated from your edition of Lyle McDonald’s RFL. The RFL2 program reduces training volume to preserve muscle and strength.</x:v>
      </x:c>
    </x:row>
    <x:row r="13">
      <x:c r="A13" s="62" t="str">
        <x:v>Dietary defaults</x:v>
      </x:c>
      <x:c r="B13" s="16" t="str">
        <x:v>Recipe filters can avoid bell peppers and shellfish. Ingredient values are examples only; replace them with your food-label and measured-portion values.</x:v>
      </x:c>
    </x:row>
    <x:row r="14">
      <x:c r="A14" s="62" t="str">
        <x:v>Backup</x:v>
      </x:c>
      <x:c r="B14" s="16" t="str">
        <x:v>Use the app’s full JSON export regularly. Keep at least one copy outside the phone.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17" hidden="0" customWidth="1"/>
    <x:col min="3" max="3" width="17" hidden="0" customWidth="1"/>
    <x:col min="4" max="4" width="23" hidden="0" customWidth="1"/>
    <x:col min="5" max="5" width="17" hidden="0" customWidth="1"/>
    <x:col min="6" max="6" width="17" hidden="0" customWidth="1"/>
    <x:col min="7" max="7" width="23" hidden="0" customWidth="1"/>
    <x:col min="8" max="8" width="17" hidden="0" customWidth="1"/>
  </x:cols>
  <x:sheetData>
    <x:row r="1">
      <x:c r="A1" s="5" t="str">
        <x:v>Fitness Dashboard</x:v>
      </x:c>
      <x:c r="B1" s="5"/>
      <x:c r="C1" s="5"/>
      <x:c r="D1" s="5"/>
      <x:c r="E1" s="5"/>
      <x:c r="F1" s="5"/>
      <x:c r="G1" s="5"/>
      <x:c r="H1" s="5"/>
    </x:row>
    <x:row r="3">
      <x:c r="A3" s="22" t="str">
        <x:v>Profile &amp; Diet</x:v>
      </x:c>
      <x:c r="B3" s="22" t="str">
        <x:v>Value</x:v>
      </x:c>
      <x:c r="D3" s="22" t="str">
        <x:v>Training · last 7 days</x:v>
      </x:c>
      <x:c r="E3" s="22" t="str">
        <x:v>Value</x:v>
      </x:c>
      <x:c r="G3" s="22" t="str">
        <x:v>Nutrition · today</x:v>
      </x:c>
      <x:c r="H3" s="22" t="str">
        <x:v>Value</x:v>
      </x:c>
    </x:row>
    <x:row r="4">
      <x:c r="A4" s="12" t="str">
        <x:v>Active program</x:v>
      </x:c>
      <x:c r="B4" s="31" t="str">
        <x:f>IFERROR(INDEX(Settings!$B:$B,MATCH("activeProgram",Settings!$A:$A,0)),"")</x:f>
        <x:v>UL4</x:v>
      </x:c>
      <x:c r="D4" s="12" t="str">
        <x:v>Workouts</x:v>
      </x:c>
      <x:c r="E4" s="36" t="n">
        <x:f>COUNTIFS(Workout_Sessions!$B:$B,"&gt;="&amp;TODAY()-6,Workout_Sessions!$B:$B,"&lt;="&amp;TODAY(),Workout_Sessions!$L:$L,TRUE)</x:f>
        <x:v>0</x:v>
      </x:c>
      <x:c r="G4" s="12" t="str">
        <x:v>Calories</x:v>
      </x:c>
      <x:c r="H4" s="36" t="n">
        <x:f>SUMIFS(Food_Log!$H:$H,Food_Log!$B:$B,TODAY())</x:f>
        <x:v>0</x:v>
      </x:c>
    </x:row>
    <x:row r="5">
      <x:c r="A5" s="12" t="str">
        <x:v>Diet mode</x:v>
      </x:c>
      <x:c r="B5" s="31" t="str">
        <x:f>IFERROR(INDEX(Settings!$B:$B,MATCH("dietMode",Settings!$A:$A,0)),"")</x:f>
        <x:v>Normal / moderate deficit</x:v>
      </x:c>
      <x:c r="D5" s="12" t="str">
        <x:v>Work sets</x:v>
      </x:c>
      <x:c r="E5" s="36" t="n">
        <x:f>COUNTIFS(Workout_Sets!$C:$C,"&gt;="&amp;TODAY()-6,Workout_Sets!$C:$C,"&lt;="&amp;TODAY(),Workout_Sets!$I:$I,FALSE)</x:f>
        <x:v>0</x:v>
      </x:c>
      <x:c r="G5" s="12" t="str">
        <x:v>Protein g</x:v>
      </x:c>
      <x:c r="H5" s="36" t="n">
        <x:f>SUMIFS(Food_Log!$I:$I,Food_Log!$B:$B,TODAY())</x:f>
        <x:v>0</x:v>
      </x:c>
    </x:row>
    <x:row r="6">
      <x:c r="A6" s="12" t="str">
        <x:v>Latest weight kg</x:v>
      </x:c>
      <x:c r="B6" s="36" t="str">
        <x:f>IFERROR(LOOKUP(2,1/(Body_Metrics!$B$2:$B$2000&lt;&gt;""),Body_Metrics!$C$2:$C$2000),"")</x:f>
      </x:c>
      <x:c r="D6" s="12" t="str">
        <x:v>Training volume kg</x:v>
      </x:c>
      <x:c r="E6" s="36" t="n">
        <x:f>SUMIFS(Workout_Sets!$N:$N,Workout_Sets!$C:$C,"&gt;="&amp;TODAY()-6,Workout_Sets!$C:$C,"&lt;="&amp;TODAY(),Workout_Sets!$I:$I,FALSE)</x:f>
        <x:v>0</x:v>
      </x:c>
      <x:c r="G6" s="12" t="str">
        <x:v>Carbs g</x:v>
      </x:c>
      <x:c r="H6" s="36" t="n">
        <x:f>SUMIFS(Food_Log!$J:$J,Food_Log!$B:$B,TODAY())</x:f>
        <x:v>0</x:v>
      </x:c>
    </x:row>
    <x:row r="7">
      <x:c r="A7" s="12" t="str">
        <x:v>Latest waist cm</x:v>
      </x:c>
      <x:c r="B7" s="36" t="str">
        <x:f>IFERROR(LOOKUP(2,1/(Body_Metrics!$B$2:$B$2000&lt;&gt;""),Body_Metrics!$D$2:$D$2000),"")</x:f>
      </x:c>
      <x:c r="D7" s="12" t="str">
        <x:v>Cardio minutes</x:v>
      </x:c>
      <x:c r="E7" s="36" t="n">
        <x:f>SUMIFS(Cardio_Log!$D:$D,Cardio_Log!$B:$B,"&gt;="&amp;TODAY()-6,Cardio_Log!$B:$B,"&lt;="&amp;TODAY())</x:f>
        <x:v>0</x:v>
      </x:c>
      <x:c r="G7" s="12" t="str">
        <x:v>Fat g</x:v>
      </x:c>
      <x:c r="H7" s="36" t="n">
        <x:f>SUMIFS(Food_Log!$K:$K,Food_Log!$B:$B,TODAY())</x:f>
        <x:v>0</x:v>
      </x:c>
    </x:row>
    <x:row r="8">
      <x:c r="A8" s="12" t="str">
        <x:v>7-day avg weight kg</x:v>
      </x:c>
      <x:c r="B8" s="36" t="str">
        <x:f>IFERROR(AVERAGEIFS(Body_Metrics!$C:$C,Body_Metrics!$B:$B,"&gt;="&amp;TODAY()-6,Body_Metrics!$B:$B,"&lt;="&amp;TODAY()),"")</x:f>
      </x:c>
      <x:c r="D8" s="12" t="str">
        <x:v>Average sleep hrs</x:v>
      </x:c>
      <x:c r="E8" s="36" t="str">
        <x:f>IFERROR(AVERAGEIFS(Daily_Checkins!$D:$D,Daily_Checkins!$B:$B,"&gt;="&amp;TODAY()-6,Daily_Checkins!$B:$B,"&lt;="&amp;TODAY()),"")</x:f>
      </x:c>
      <x:c r="G8" s="12" t="str">
        <x:v>Calorie target</x:v>
      </x:c>
      <x:c r="H8" s="36" t="n">
        <x:f>IF(B5="RFL / PSMF",IFERROR(INDEX(Settings!$B:$B,MATCH("rflCalorieTarget",Settings!$A:$A,0)),""),IFERROR(INDEX(Settings!$B:$B,MATCH("normalCalorieTarget",Settings!$A:$A,0)),""))</x:f>
        <x:v>2200</x:v>
      </x:c>
    </x:row>
    <x:row r="9">
      <x:c r="A9" s="12" t="str">
        <x:v>Target weight kg</x:v>
      </x:c>
      <x:c r="B9" s="36" t="str">
        <x:f>IFERROR(INDEX(Settings!$B:$B,MATCH("targetWeightKg",Settings!$A:$A,0)),"")</x:f>
      </x:c>
      <x:c r="D9" s="12" t="str">
        <x:v>Average steps</x:v>
      </x:c>
      <x:c r="E9" s="36" t="str">
        <x:f>IFERROR(AVERAGEIFS(Daily_Checkins!$C:$C,Daily_Checkins!$B:$B,"&gt;="&amp;TODAY()-6,Daily_Checkins!$B:$B,"&lt;="&amp;TODAY()),"")</x:f>
      </x:c>
      <x:c r="G9" s="12" t="str">
        <x:v>Protein target g</x:v>
      </x:c>
      <x:c r="H9" s="36" t="n">
        <x:f>IF(B5="RFL / PSMF",IFERROR(INDEX(Settings!$B:$B,MATCH("rflProteinTarget",Settings!$A:$A,0)),""),IFERROR(INDEX(Settings!$B:$B,MATCH("normalProteinTarget",Settings!$A:$A,0)),""))</x:f>
        <x:v>170</x:v>
      </x:c>
    </x:row>
    <x:row r="10">
      <x:c r="A10" s="12" t="str">
        <x:v>30-day weight change kg</x:v>
      </x:c>
      <x:c r="B10" s="36" t="str">
        <x:f>IFERROR(B6-AVERAGEIFS(Body_Metrics!$C:$C,Body_Metrics!$B:$B,"&gt;="&amp;TODAY()-30,Body_Metrics!$B:$B,"&lt;="&amp;TODAY()-24),"")</x:f>
      </x:c>
      <x:c r="D10" s="12" t="str">
        <x:v>Diet adherence %</x:v>
      </x:c>
      <x:c r="E10" s="36" t="str">
        <x:f>IFERROR(AVERAGEIFS(Daily_Checkins!$I:$I,Daily_Checkins!$B:$B,"&gt;="&amp;TODAY()-6,Daily_Checkins!$B:$B,"&lt;="&amp;TODAY()),"")</x:f>
      </x:c>
      <x:c r="G10" s="12" t="str">
        <x:v>Remaining calories</x:v>
      </x:c>
      <x:c r="H10" s="36" t="n">
        <x:f>IF(H8="","",H8-H4)</x:f>
        <x:v>2200</x:v>
      </x:c>
    </x:row>
    <x:row r="12">
      <x:c r="A12" s="12" t="str">
        <x:v>Eight-week training trend</x:v>
      </x:c>
      <x:c r="B12" s="12"/>
      <x:c r="C12" s="12"/>
      <x:c r="D12" s="12"/>
      <x:c r="E12" s="12"/>
      <x:c r="F12" s="12"/>
      <x:c r="G12" s="12"/>
      <x:c r="H12" s="12"/>
    </x:row>
    <x:row r="14">
      <x:c r="A14" s="22" t="str">
        <x:v>Week start</x:v>
      </x:c>
      <x:c r="B14" s="22" t="str">
        <x:v>Volume kg</x:v>
      </x:c>
      <x:c r="C14" s="22" t="str">
        <x:v>Workouts</x:v>
      </x:c>
    </x:row>
    <x:row r="15">
      <x:c r="A15" s="38" t="n">
        <x:v>46167</x:v>
      </x:c>
      <x:c r="B15" t="n">
        <x:f>SUMIFS(Workout_Sets!$N:$N,Workout_Sets!$C:$C,"&gt;="&amp;A15,Workout_Sets!$C:$C,"&lt;"&amp;A15+7,Workout_Sets!$I:$I,FALSE)</x:f>
        <x:v>0</x:v>
      </x:c>
      <x:c r="C15" t="n">
        <x:f>COUNTIFS(Workout_Sessions!$B:$B,"&gt;="&amp;A15,Workout_Sessions!$B:$B,"&lt;"&amp;A15+7,Workout_Sessions!$L:$L,TRUE)</x:f>
        <x:v>0</x:v>
      </x:c>
    </x:row>
    <x:row r="16">
      <x:c r="A16" s="38" t="n">
        <x:v>46174</x:v>
      </x:c>
      <x:c r="B16" t="n">
        <x:f>SUMIFS(Workout_Sets!$N:$N,Workout_Sets!$C:$C,"&gt;="&amp;A16,Workout_Sets!$C:$C,"&lt;"&amp;A16+7,Workout_Sets!$I:$I,FALSE)</x:f>
        <x:v>0</x:v>
      </x:c>
      <x:c r="C16" t="n">
        <x:f>COUNTIFS(Workout_Sessions!$B:$B,"&gt;="&amp;A16,Workout_Sessions!$B:$B,"&lt;"&amp;A16+7,Workout_Sessions!$L:$L,TRUE)</x:f>
        <x:v>0</x:v>
      </x:c>
    </x:row>
    <x:row r="17">
      <x:c r="A17" s="38" t="n">
        <x:v>46181</x:v>
      </x:c>
      <x:c r="B17" t="n">
        <x:f>SUMIFS(Workout_Sets!$N:$N,Workout_Sets!$C:$C,"&gt;="&amp;A17,Workout_Sets!$C:$C,"&lt;"&amp;A17+7,Workout_Sets!$I:$I,FALSE)</x:f>
        <x:v>0</x:v>
      </x:c>
      <x:c r="C17" t="n">
        <x:f>COUNTIFS(Workout_Sessions!$B:$B,"&gt;="&amp;A17,Workout_Sessions!$B:$B,"&lt;"&amp;A17+7,Workout_Sessions!$L:$L,TRUE)</x:f>
        <x:v>0</x:v>
      </x:c>
    </x:row>
    <x:row r="18">
      <x:c r="A18" s="38" t="n">
        <x:v>46188</x:v>
      </x:c>
      <x:c r="B18" t="n">
        <x:f>SUMIFS(Workout_Sets!$N:$N,Workout_Sets!$C:$C,"&gt;="&amp;A18,Workout_Sets!$C:$C,"&lt;"&amp;A18+7,Workout_Sets!$I:$I,FALSE)</x:f>
        <x:v>0</x:v>
      </x:c>
      <x:c r="C18" t="n">
        <x:f>COUNTIFS(Workout_Sessions!$B:$B,"&gt;="&amp;A18,Workout_Sessions!$B:$B,"&lt;"&amp;A18+7,Workout_Sessions!$L:$L,TRUE)</x:f>
        <x:v>0</x:v>
      </x:c>
    </x:row>
    <x:row r="19">
      <x:c r="A19" s="38" t="n">
        <x:v>46195</x:v>
      </x:c>
      <x:c r="B19" t="n">
        <x:f>SUMIFS(Workout_Sets!$N:$N,Workout_Sets!$C:$C,"&gt;="&amp;A19,Workout_Sets!$C:$C,"&lt;"&amp;A19+7,Workout_Sets!$I:$I,FALSE)</x:f>
        <x:v>0</x:v>
      </x:c>
      <x:c r="C19" t="n">
        <x:f>COUNTIFS(Workout_Sessions!$B:$B,"&gt;="&amp;A19,Workout_Sessions!$B:$B,"&lt;"&amp;A19+7,Workout_Sessions!$L:$L,TRUE)</x:f>
        <x:v>0</x:v>
      </x:c>
    </x:row>
    <x:row r="20">
      <x:c r="A20" s="38" t="n">
        <x:v>46202</x:v>
      </x:c>
      <x:c r="B20" t="n">
        <x:f>SUMIFS(Workout_Sets!$N:$N,Workout_Sets!$C:$C,"&gt;="&amp;A20,Workout_Sets!$C:$C,"&lt;"&amp;A20+7,Workout_Sets!$I:$I,FALSE)</x:f>
        <x:v>0</x:v>
      </x:c>
      <x:c r="C20" t="n">
        <x:f>COUNTIFS(Workout_Sessions!$B:$B,"&gt;="&amp;A20,Workout_Sessions!$B:$B,"&lt;"&amp;A20+7,Workout_Sessions!$L:$L,TRUE)</x:f>
        <x:v>0</x:v>
      </x:c>
    </x:row>
    <x:row r="21">
      <x:c r="A21" s="38" t="n">
        <x:v>46209</x:v>
      </x:c>
      <x:c r="B21" t="n">
        <x:f>SUMIFS(Workout_Sets!$N:$N,Workout_Sets!$C:$C,"&gt;="&amp;A21,Workout_Sets!$C:$C,"&lt;"&amp;A21+7,Workout_Sets!$I:$I,FALSE)</x:f>
        <x:v>0</x:v>
      </x:c>
      <x:c r="C21" t="n">
        <x:f>COUNTIFS(Workout_Sessions!$B:$B,"&gt;="&amp;A21,Workout_Sessions!$B:$B,"&lt;"&amp;A21+7,Workout_Sessions!$L:$L,TRUE)</x:f>
        <x:v>0</x:v>
      </x:c>
    </x:row>
    <x:row r="22">
      <x:c r="A22" s="38" t="n">
        <x:v>46216</x:v>
      </x:c>
      <x:c r="B22" t="n">
        <x:f>SUMIFS(Workout_Sets!$N:$N,Workout_Sets!$C:$C,"&gt;="&amp;A22,Workout_Sets!$C:$C,"&lt;"&amp;A22+7,Workout_Sets!$I:$I,FALSE)</x:f>
        <x:v>0</x:v>
      </x:c>
      <x:c r="C22" t="n">
        <x:f>COUNTIFS(Workout_Sessions!$B:$B,"&gt;="&amp;A22,Workout_Sessions!$B:$B,"&lt;"&amp;A22+7,Workout_Sessions!$L:$L,TRUE)</x:f>
        <x:v>0</x:v>
      </x:c>
    </x:row>
  </x:sheetData>
  <x:mergeCells>
    <x:mergeCell ref="A1:H1"/>
    <x:mergeCell ref="A12:H12"/>
  </x:mergeCells>
  <x:pageMargins left="0.7" right="0.7" top="0.75" bottom="0.75" header="0.3" footer="0.3"/>
  <x:drawing xmlns:r="http://schemas.openxmlformats.org/officeDocument/2006/relationships" r:id="Rd6b3be7c53a34da8"/>
</x:worksheet>
</file>

<file path=xl/worksheets/sheet3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56" hidden="0" customWidth="1"/>
    <x:col min="3" max="3" width="12" hidden="0" customWidth="1"/>
    <x:col min="4" max="4" width="16" hidden="0" customWidth="1"/>
    <x:col min="5" max="5" width="48" hidden="0" customWidth="1"/>
  </x:cols>
  <x:sheetData>
    <x:row r="1" ht="30" customHeight="1">
      <x:c r="A1" s="63" t="str">
        <x:v>Key</x:v>
      </x:c>
      <x:c r="B1" s="63" t="str">
        <x:v>Value</x:v>
      </x:c>
      <x:c r="C1" s="63" t="str">
        <x:v>Type</x:v>
      </x:c>
      <x:c r="D1" s="63" t="str">
        <x:v>Group</x:v>
      </x:c>
      <x:c r="E1" s="63" t="str">
        <x:v>Description</x:v>
      </x:c>
    </x:row>
    <x:row r="2">
      <x:c r="A2" s="64" t="str">
        <x:v>profileName</x:v>
      </x:c>
      <x:c r="B2" s="65" t="str"/>
      <x:c r="C2" s="65" t="str">
        <x:v>text</x:v>
      </x:c>
      <x:c r="D2" s="65" t="str">
        <x:v>Profile</x:v>
      </x:c>
      <x:c r="E2" s="66" t="str">
        <x:v>Name shown in the app</x:v>
      </x:c>
    </x:row>
    <x:row r="3">
      <x:c r="A3" s="67" t="str">
        <x:v>age</x:v>
      </x:c>
      <x:c r="B3" s="68" t="str"/>
      <x:c r="C3" s="68" t="str">
        <x:v>number</x:v>
      </x:c>
      <x:c r="D3" s="68" t="str">
        <x:v>Profile</x:v>
      </x:c>
      <x:c r="E3" s="69" t="str">
        <x:v>Age</x:v>
      </x:c>
    </x:row>
    <x:row r="4">
      <x:c r="A4" s="67" t="str">
        <x:v>heightCm</x:v>
      </x:c>
      <x:c r="B4" s="68" t="str"/>
      <x:c r="C4" s="68" t="str">
        <x:v>number</x:v>
      </x:c>
      <x:c r="D4" s="68" t="str">
        <x:v>Profile</x:v>
      </x:c>
      <x:c r="E4" s="69" t="str">
        <x:v>Height in centimetres</x:v>
      </x:c>
    </x:row>
    <x:row r="5">
      <x:c r="A5" s="67" t="str">
        <x:v>targetWeightKg</x:v>
      </x:c>
      <x:c r="B5" s="68" t="str"/>
      <x:c r="C5" s="68" t="str">
        <x:v>number</x:v>
      </x:c>
      <x:c r="D5" s="68" t="str">
        <x:v>Profile</x:v>
      </x:c>
      <x:c r="E5" s="69" t="str">
        <x:v>Long-term weight target</x:v>
      </x:c>
    </x:row>
    <x:row r="6">
      <x:c r="A6" s="67" t="str">
        <x:v>activeProgram</x:v>
      </x:c>
      <x:c r="B6" s="68" t="str">
        <x:v>UL4</x:v>
      </x:c>
      <x:c r="C6" s="68" t="str">
        <x:v>text</x:v>
      </x:c>
      <x:c r="D6" s="68" t="str">
        <x:v>Training</x:v>
      </x:c>
      <x:c r="E6" s="69" t="str">
        <x:v>Active program ID</x:v>
      </x:c>
    </x:row>
    <x:row r="7">
      <x:c r="A7" s="67" t="str">
        <x:v>dietMode</x:v>
      </x:c>
      <x:c r="B7" s="68" t="str">
        <x:v>Normal / moderate deficit</x:v>
      </x:c>
      <x:c r="C7" s="68" t="str">
        <x:v>text</x:v>
      </x:c>
      <x:c r="D7" s="68" t="str">
        <x:v>Diet</x:v>
      </x:c>
      <x:c r="E7" s="69" t="str">
        <x:v>Current diet phase</x:v>
      </x:c>
    </x:row>
    <x:row r="8">
      <x:c r="A8" s="67" t="str">
        <x:v>normalCalorieTarget</x:v>
      </x:c>
      <x:c r="B8" s="68" t="n">
        <x:v>2200</x:v>
      </x:c>
      <x:c r="C8" s="68" t="str">
        <x:v>number</x:v>
      </x:c>
      <x:c r="D8" s="68" t="str">
        <x:v>Diet</x:v>
      </x:c>
      <x:c r="E8" s="69" t="str">
        <x:v>Daily calorie target outside RFL</x:v>
      </x:c>
    </x:row>
    <x:row r="9">
      <x:c r="A9" s="67" t="str">
        <x:v>normalProteinTarget</x:v>
      </x:c>
      <x:c r="B9" s="68" t="n">
        <x:v>170</x:v>
      </x:c>
      <x:c r="C9" s="68" t="str">
        <x:v>number</x:v>
      </x:c>
      <x:c r="D9" s="68" t="str">
        <x:v>Diet</x:v>
      </x:c>
      <x:c r="E9" s="69" t="str">
        <x:v>Daily protein target outside RFL</x:v>
      </x:c>
    </x:row>
    <x:row r="10">
      <x:c r="A10" s="67" t="str">
        <x:v>normalCarbTarget</x:v>
      </x:c>
      <x:c r="B10" s="68" t="n">
        <x:v>180</x:v>
      </x:c>
      <x:c r="C10" s="68" t="str">
        <x:v>number</x:v>
      </x:c>
      <x:c r="D10" s="68" t="str">
        <x:v>Diet</x:v>
      </x:c>
      <x:c r="E10" s="69" t="str">
        <x:v>Daily carbohydrate target outside RFL</x:v>
      </x:c>
    </x:row>
    <x:row r="11">
      <x:c r="A11" s="67" t="str">
        <x:v>normalFatTarget</x:v>
      </x:c>
      <x:c r="B11" s="68" t="n">
        <x:v>70</x:v>
      </x:c>
      <x:c r="C11" s="68" t="str">
        <x:v>number</x:v>
      </x:c>
      <x:c r="D11" s="68" t="str">
        <x:v>Diet</x:v>
      </x:c>
      <x:c r="E11" s="69" t="str">
        <x:v>Daily fat target outside RFL</x:v>
      </x:c>
    </x:row>
    <x:row r="12">
      <x:c r="A12" s="67" t="str">
        <x:v>rflCalorieTarget</x:v>
      </x:c>
      <x:c r="B12" s="68" t="str"/>
      <x:c r="C12" s="68" t="str">
        <x:v>number</x:v>
      </x:c>
      <x:c r="D12" s="68" t="str">
        <x:v>RFL</x:v>
      </x:c>
      <x:c r="E12" s="69" t="str">
        <x:v>Use your edition of RFL; do not guess</x:v>
      </x:c>
    </x:row>
    <x:row r="13">
      <x:c r="A13" s="67" t="str">
        <x:v>rflProteinTarget</x:v>
      </x:c>
      <x:c r="B13" s="68" t="str"/>
      <x:c r="C13" s="68" t="str">
        <x:v>number</x:v>
      </x:c>
      <x:c r="D13" s="68" t="str">
        <x:v>RFL</x:v>
      </x:c>
      <x:c r="E13" s="69" t="str">
        <x:v>Use your edition of RFL; do not guess</x:v>
      </x:c>
    </x:row>
    <x:row r="14">
      <x:c r="A14" s="67" t="str">
        <x:v>rflCarbTarget</x:v>
      </x:c>
      <x:c r="B14" s="68" t="str"/>
      <x:c r="C14" s="68" t="str">
        <x:v>number</x:v>
      </x:c>
      <x:c r="D14" s="68" t="str">
        <x:v>RFL</x:v>
      </x:c>
      <x:c r="E14" s="69" t="str">
        <x:v>Use your edition of RFL; do not guess</x:v>
      </x:c>
    </x:row>
    <x:row r="15">
      <x:c r="A15" s="67" t="str">
        <x:v>rflFatTarget</x:v>
      </x:c>
      <x:c r="B15" s="68" t="str"/>
      <x:c r="C15" s="68" t="str">
        <x:v>number</x:v>
      </x:c>
      <x:c r="D15" s="68" t="str">
        <x:v>RFL</x:v>
      </x:c>
      <x:c r="E15" s="69" t="str">
        <x:v>Use your edition of RFL; do not guess</x:v>
      </x:c>
    </x:row>
    <x:row r="16">
      <x:c r="A16" s="67" t="str">
        <x:v>stepsTarget</x:v>
      </x:c>
      <x:c r="B16" s="68" t="n">
        <x:v>8000</x:v>
      </x:c>
      <x:c r="C16" s="68" t="str">
        <x:v>number</x:v>
      </x:c>
      <x:c r="D16" s="68" t="str">
        <x:v>Recovery</x:v>
      </x:c>
      <x:c r="E16" s="69" t="str">
        <x:v>Daily step target</x:v>
      </x:c>
    </x:row>
    <x:row r="17">
      <x:c r="A17" s="67" t="str">
        <x:v>sleepTargetHrs</x:v>
      </x:c>
      <x:c r="B17" s="68" t="n">
        <x:v>7.5</x:v>
      </x:c>
      <x:c r="C17" s="68" t="str">
        <x:v>number</x:v>
      </x:c>
      <x:c r="D17" s="68" t="str">
        <x:v>Recovery</x:v>
      </x:c>
      <x:c r="E17" s="69" t="str">
        <x:v>Daily sleep target</x:v>
      </x:c>
    </x:row>
    <x:row r="18">
      <x:c r="A18" s="67" t="str">
        <x:v>waterTargetMl</x:v>
      </x:c>
      <x:c r="B18" s="68" t="n">
        <x:v>2500</x:v>
      </x:c>
      <x:c r="C18" s="68" t="str">
        <x:v>number</x:v>
      </x:c>
      <x:c r="D18" s="68" t="str">
        <x:v>Recovery</x:v>
      </x:c>
      <x:c r="E18" s="69" t="str">
        <x:v>Daily water target</x:v>
      </x:c>
    </x:row>
    <x:row r="19">
      <x:c r="A19" s="67" t="str">
        <x:v>noBellPeppers</x:v>
      </x:c>
      <x:c r="B19" s="70" t="b">
        <x:v>0</x:v>
      </x:c>
      <x:c r="C19" s="68" t="str">
        <x:v>boolean</x:v>
      </x:c>
      <x:c r="D19" s="68" t="str">
        <x:v>Diet</x:v>
      </x:c>
      <x:c r="E19" s="69" t="str">
        <x:v>Recipe preference</x:v>
      </x:c>
    </x:row>
    <x:row r="20">
      <x:c r="A20" s="67" t="str">
        <x:v>noShellfish</x:v>
      </x:c>
      <x:c r="B20" s="70" t="b">
        <x:v>0</x:v>
      </x:c>
      <x:c r="C20" s="68" t="str">
        <x:v>boolean</x:v>
      </x:c>
      <x:c r="D20" s="68" t="str">
        <x:v>Diet</x:v>
      </x:c>
      <x:c r="E20" s="69" t="str">
        <x:v>Recipe preference</x:v>
      </x:c>
    </x:row>
    <x:row r="21">
      <x:c r="A21" s="67" t="str">
        <x:v>lastSession</x:v>
      </x:c>
      <x:c r="B21" s="68" t="str">
        <x:v>UL4|lower-a</x:v>
      </x:c>
      <x:c r="C21" s="68" t="str">
        <x:v>text</x:v>
      </x:c>
      <x:c r="D21" s="68" t="str">
        <x:v>Training</x:v>
      </x:c>
      <x:c r="E21" s="69" t="str">
        <x:v>Last selected ProgramID|SessionID</x:v>
      </x:c>
    </x:row>
    <x:row r="22">
      <x:c r="A22" s="67" t="str">
        <x:v>weekStartsMonday</x:v>
      </x:c>
      <x:c r="B22" s="70" t="b">
        <x:v>1</x:v>
      </x:c>
      <x:c r="C22" s="68" t="str">
        <x:v>boolean</x:v>
      </x:c>
      <x:c r="D22" s="68" t="str">
        <x:v>App</x:v>
      </x:c>
      <x:c r="E22" s="69" t="str">
        <x:v>Week starts Monday</x:v>
      </x:c>
    </x:row>
    <x:row r="23">
      <x:c r="A23" s="67" t="str">
        <x:v>availableEquipment</x:v>
      </x:c>
      <x:c r="B23" s="68" t="str">
        <x:v>["Bodyweight / floor space", "Power rack / squat stands", "Barbell + plates", "Adjustable bench", "Adjustable dumbbells", "Cable station / functional trainer", "Pull-up bar", "Gymnastic rings / suspension trainer", "Calf raise platform / machine", "Ankle strap", "Rope cable attachment", "Ab wheel"]</x:v>
      </x:c>
      <x:c r="C23" s="68" t="str">
        <x:v>json</x:v>
      </x:c>
      <x:c r="D23" s="68" t="str">
        <x:v>Training</x:v>
      </x:c>
      <x:c r="E23" s="69" t="str">
        <x:v>Selected equipment used by exercise compatibility</x:v>
      </x:c>
    </x:row>
    <x:row r="24">
      <x:c r="A24" s="67" t="str">
        <x:v>customEquipment</x:v>
      </x:c>
      <x:c r="B24" s="68" t="str">
        <x:v>[]</x:v>
      </x:c>
      <x:c r="C24" s="68" t="str">
        <x:v>json</x:v>
      </x:c>
      <x:c r="D24" s="68" t="str">
        <x:v>Training</x:v>
      </x:c>
      <x:c r="E24" s="69" t="str">
        <x:v>Custom equipment names</x:v>
      </x:c>
    </x:row>
    <x:row r="25">
      <x:c r="A25" s="67" t="str">
        <x:v>equipmentProfileName</x:v>
      </x:c>
      <x:c r="B25" s="68" t="str">
        <x:v>Custom home gym</x:v>
      </x:c>
      <x:c r="C25" s="68" t="str">
        <x:v>text</x:v>
      </x:c>
      <x:c r="D25" s="68" t="str">
        <x:v>Training</x:v>
      </x:c>
      <x:c r="E25" s="69" t="str">
        <x:v>Current equipment preset or profile name</x:v>
      </x:c>
    </x:row>
    <x:row r="26">
      <x:c r="A26" s="67" t="str">
        <x:v>restTimerDefaultSec</x:v>
      </x:c>
      <x:c r="B26" s="68" t="n">
        <x:v>120</x:v>
      </x:c>
      <x:c r="C26" s="68" t="str">
        <x:v>number</x:v>
      </x:c>
      <x:c r="D26" s="68" t="str">
        <x:v>Training</x:v>
      </x:c>
      <x:c r="E26" s="69" t="str">
        <x:v>Default rest timer</x:v>
      </x:c>
    </x:row>
    <x:row r="27">
      <x:c r="A27" s="77" t="str">
        <x:v>theme</x:v>
      </x:c>
      <x:c r="B27" s="78" t="str">
        <x:v>system</x:v>
      </x:c>
      <x:c r="C27" s="78" t="str">
        <x:v>text</x:v>
      </x:c>
      <x:c r="D27" s="78" t="str">
        <x:v>App</x:v>
      </x:c>
      <x:c r="E27" s="79" t="str">
        <x:v>system, light, or dark</x:v>
      </x:c>
    </x:row>
  </x:sheetData>
  <x:dataValidations count="2">
    <x:dataValidation type="list" sqref="B6">
      <x:formula1>"UL4,RFL2,GVS_EXTRA"</x:formula1>
    </x:dataValidation>
    <x:dataValidation type="list" sqref="B7">
      <x:formula1>"Normal / moderate deficit,RFL / PSMF,Maintenance / transition"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28" hidden="0" customWidth="1"/>
    <x:col min="3" max="3" width="24" hidden="0" customWidth="1"/>
    <x:col min="4" max="4" width="42" hidden="0" customWidth="1"/>
    <x:col min="5" max="5" width="20" hidden="0" customWidth="1"/>
    <x:col min="6" max="6" width="22" hidden="0" customWidth="1"/>
    <x:col min="7" max="7" width="12" hidden="0" customWidth="1"/>
    <x:col min="8" max="8" width="12" hidden="0" customWidth="1"/>
    <x:col min="9" max="9" width="24" hidden="0" customWidth="1"/>
    <x:col min="10" max="10" width="24" hidden="0" customWidth="1"/>
    <x:col min="11" max="11" width="14" hidden="0" customWidth="1"/>
    <x:col min="12" max="12" width="32" hidden="0" customWidth="1"/>
    <x:col min="13" max="13" width="12" hidden="0" customWidth="1"/>
    <x:col min="14" max="14" width="8" hidden="0" customWidth="1"/>
    <x:col min="15" max="15" width="12" hidden="0" customWidth="1"/>
    <x:col min="16" max="16" width="8" hidden="0" customWidth="1"/>
    <x:col min="17" max="17" width="10" hidden="0" customWidth="1"/>
    <x:col min="18" max="18" width="42" hidden="0" customWidth="1"/>
    <x:col min="19" max="19" width="8" hidden="0" customWidth="1"/>
    <x:col min="20" max="20" width="20" hidden="0" customWidth="1"/>
  </x:cols>
  <x:sheetData>
    <x:row r="1" ht="30" customHeight="1">
      <x:c r="A1" s="63" t="str">
        <x:v>ProgramID</x:v>
      </x:c>
      <x:c r="B1" s="63" t="str">
        <x:v>ProgramName</x:v>
      </x:c>
      <x:c r="C1" s="63" t="str">
        <x:v>Mode</x:v>
      </x:c>
      <x:c r="D1" s="63" t="str">
        <x:v>ProgramDescription</x:v>
      </x:c>
      <x:c r="E1" s="63" t="str">
        <x:v>SessionID</x:v>
      </x:c>
      <x:c r="F1" s="63" t="str">
        <x:v>SessionName</x:v>
      </x:c>
      <x:c r="G1" s="63" t="str">
        <x:v>Day</x:v>
      </x:c>
      <x:c r="H1" s="63" t="str">
        <x:v>SessionOrder</x:v>
      </x:c>
      <x:c r="I1" s="63" t="str">
        <x:v>SessionNotes</x:v>
      </x:c>
      <x:c r="J1" s="63" t="str">
        <x:v>SlotID</x:v>
      </x:c>
      <x:c r="K1" s="63" t="str">
        <x:v>ExerciseID</x:v>
      </x:c>
      <x:c r="L1" s="63" t="str">
        <x:v>Exercise</x:v>
      </x:c>
      <x:c r="M1" s="63" t="str">
        <x:v>ExerciseOrder</x:v>
      </x:c>
      <x:c r="N1" s="63" t="str">
        <x:v>Sets</x:v>
      </x:c>
      <x:c r="O1" s="63" t="str">
        <x:v>RepRange</x:v>
      </x:c>
      <x:c r="P1" s="63" t="str">
        <x:v>RIR</x:v>
      </x:c>
      <x:c r="Q1" s="63" t="str">
        <x:v>RestSec</x:v>
      </x:c>
      <x:c r="R1" s="63" t="str">
        <x:v>ExerciseNotes</x:v>
      </x:c>
      <x:c r="S1" s="63" t="str">
        <x:v>Active</x:v>
      </x:c>
      <x:c r="T1" s="63" t="str">
        <x:v>UpdatedAt</x:v>
      </x:c>
    </x:row>
    <x:row r="2">
      <x:c r="A2" s="64" t="str">
        <x:v>UL4</x:v>
      </x:c>
      <x:c r="B2" s="65" t="str">
        <x:v>Normal 4-day Upper/Lower</x:v>
      </x:c>
      <x:c r="C2" s="65" t="str">
        <x:v>Normal / moderate deficit</x:v>
      </x:c>
      <x:c r="D2" s="65" t="str">
        <x:v>Four-day upper/lower plan for normal dieting, maintenance, or slow fat loss.</x:v>
      </x:c>
      <x:c r="E2" s="65" t="str">
        <x:v>lower-a</x:v>
      </x:c>
      <x:c r="F2" s="65" t="str">
        <x:v>Lower A</x:v>
      </x:c>
      <x:c r="G2" s="65" t="str">
        <x:v>Monday</x:v>
      </x:c>
      <x:c r="H2" s="65" t="n">
        <x:v>1</x:v>
      </x:c>
      <x:c r="I2" s="65" t="str"/>
      <x:c r="J2" s="65" t="str">
        <x:v>ul4-lower-a-1</x:v>
      </x:c>
      <x:c r="K2" s="65" t="str">
        <x:v>EX001</x:v>
      </x:c>
      <x:c r="L2" s="65" t="str">
        <x:v>High-bar back squat</x:v>
      </x:c>
      <x:c r="M2" s="65" t="n">
        <x:v>1</x:v>
      </x:c>
      <x:c r="N2" s="65" t="n">
        <x:v>3</x:v>
      </x:c>
      <x:c r="O2" s="65" t="str">
        <x:v>6-8</x:v>
      </x:c>
      <x:c r="P2" s="65" t="str">
        <x:v>1-2</x:v>
      </x:c>
      <x:c r="Q2" s="65" t="n">
        <x:v>150</x:v>
      </x:c>
      <x:c r="R2" s="65" t="str">
        <x:v>Use controlled depth; substitute if back/knees complain.</x:v>
      </x:c>
      <x:c r="S2" s="80" t="b">
        <x:v>1</x:v>
      </x:c>
      <x:c r="T2" s="82" t="n">
        <x:v>46222.416666666664</x:v>
      </x:c>
    </x:row>
    <x:row r="3">
      <x:c r="A3" s="67" t="str">
        <x:v>UL4</x:v>
      </x:c>
      <x:c r="B3" s="68" t="str">
        <x:v>Normal 4-day Upper/Lower</x:v>
      </x:c>
      <x:c r="C3" s="68" t="str">
        <x:v>Normal / moderate deficit</x:v>
      </x:c>
      <x:c r="D3" s="68" t="str">
        <x:v>Four-day upper/lower plan for normal dieting, maintenance, or slow fat loss.</x:v>
      </x:c>
      <x:c r="E3" s="68" t="str">
        <x:v>lower-a</x:v>
      </x:c>
      <x:c r="F3" s="68" t="str">
        <x:v>Lower A</x:v>
      </x:c>
      <x:c r="G3" s="68" t="str">
        <x:v>Monday</x:v>
      </x:c>
      <x:c r="H3" s="68" t="n">
        <x:v>1</x:v>
      </x:c>
      <x:c r="I3" s="68" t="str"/>
      <x:c r="J3" s="68" t="str">
        <x:v>ul4-lower-a-2</x:v>
      </x:c>
      <x:c r="K3" s="68" t="str">
        <x:v>EX008</x:v>
      </x:c>
      <x:c r="L3" s="68" t="str">
        <x:v>Romanian deadlift</x:v>
      </x:c>
      <x:c r="M3" s="68" t="n">
        <x:v>2</x:v>
      </x:c>
      <x:c r="N3" s="68" t="n">
        <x:v>3</x:v>
      </x:c>
      <x:c r="O3" s="68" t="str">
        <x:v>6-8</x:v>
      </x:c>
      <x:c r="P3" s="68" t="str">
        <x:v>1-2</x:v>
      </x:c>
      <x:c r="Q3" s="68" t="n">
        <x:v>150</x:v>
      </x:c>
      <x:c r="R3" s="68" t="str">
        <x:v>Replace with hip thrust or cable pull-through if lower back is limiting.</x:v>
      </x:c>
      <x:c r="S3" s="70" t="b">
        <x:v>1</x:v>
      </x:c>
      <x:c r="T3" s="83" t="n">
        <x:v>46222.416666666664</x:v>
      </x:c>
    </x:row>
    <x:row r="4">
      <x:c r="A4" s="67" t="str">
        <x:v>UL4</x:v>
      </x:c>
      <x:c r="B4" s="68" t="str">
        <x:v>Normal 4-day Upper/Lower</x:v>
      </x:c>
      <x:c r="C4" s="68" t="str">
        <x:v>Normal / moderate deficit</x:v>
      </x:c>
      <x:c r="D4" s="68" t="str">
        <x:v>Four-day upper/lower plan for normal dieting, maintenance, or slow fat loss.</x:v>
      </x:c>
      <x:c r="E4" s="68" t="str">
        <x:v>lower-a</x:v>
      </x:c>
      <x:c r="F4" s="68" t="str">
        <x:v>Lower A</x:v>
      </x:c>
      <x:c r="G4" s="68" t="str">
        <x:v>Monday</x:v>
      </x:c>
      <x:c r="H4" s="68" t="n">
        <x:v>1</x:v>
      </x:c>
      <x:c r="I4" s="68" t="str"/>
      <x:c r="J4" s="68" t="str">
        <x:v>ul4-lower-a-3</x:v>
      </x:c>
      <x:c r="K4" s="68" t="str">
        <x:v>EX006</x:v>
      </x:c>
      <x:c r="L4" s="68" t="str">
        <x:v>Bulgarian split squat</x:v>
      </x:c>
      <x:c r="M4" s="68" t="n">
        <x:v>3</x:v>
      </x:c>
      <x:c r="N4" s="68" t="n">
        <x:v>2</x:v>
      </x:c>
      <x:c r="O4" s="68" t="str">
        <x:v>8-12 each leg</x:v>
      </x:c>
      <x:c r="P4" s="68" t="str">
        <x:v>1-2</x:v>
      </x:c>
      <x:c r="Q4" s="68" t="n">
        <x:v>90</x:v>
      </x:c>
      <x:c r="R4" s="68" t="str"/>
      <x:c r="S4" s="70" t="b">
        <x:v>1</x:v>
      </x:c>
      <x:c r="T4" s="83" t="n">
        <x:v>46222.416666666664</x:v>
      </x:c>
    </x:row>
    <x:row r="5">
      <x:c r="A5" s="67" t="str">
        <x:v>UL4</x:v>
      </x:c>
      <x:c r="B5" s="68" t="str">
        <x:v>Normal 4-day Upper/Lower</x:v>
      </x:c>
      <x:c r="C5" s="68" t="str">
        <x:v>Normal / moderate deficit</x:v>
      </x:c>
      <x:c r="D5" s="68" t="str">
        <x:v>Four-day upper/lower plan for normal dieting, maintenance, or slow fat loss.</x:v>
      </x:c>
      <x:c r="E5" s="68" t="str">
        <x:v>lower-a</x:v>
      </x:c>
      <x:c r="F5" s="68" t="str">
        <x:v>Lower A</x:v>
      </x:c>
      <x:c r="G5" s="68" t="str">
        <x:v>Monday</x:v>
      </x:c>
      <x:c r="H5" s="68" t="n">
        <x:v>1</x:v>
      </x:c>
      <x:c r="I5" s="68" t="str"/>
      <x:c r="J5" s="68" t="str">
        <x:v>ul4-lower-a-4</x:v>
      </x:c>
      <x:c r="K5" s="68" t="str">
        <x:v>EX012</x:v>
      </x:c>
      <x:c r="L5" s="68" t="str">
        <x:v>Cable leg curl</x:v>
      </x:c>
      <x:c r="M5" s="68" t="n">
        <x:v>4</x:v>
      </x:c>
      <x:c r="N5" s="68" t="n">
        <x:v>2</x:v>
      </x:c>
      <x:c r="O5" s="68" t="str">
        <x:v>10-15</x:v>
      </x:c>
      <x:c r="P5" s="68" t="str">
        <x:v>1-2</x:v>
      </x:c>
      <x:c r="Q5" s="68" t="n">
        <x:v>90</x:v>
      </x:c>
      <x:c r="R5" s="68" t="str"/>
      <x:c r="S5" s="70" t="b">
        <x:v>1</x:v>
      </x:c>
      <x:c r="T5" s="83" t="n">
        <x:v>46222.416666666664</x:v>
      </x:c>
    </x:row>
    <x:row r="6">
      <x:c r="A6" s="67" t="str">
        <x:v>UL4</x:v>
      </x:c>
      <x:c r="B6" s="68" t="str">
        <x:v>Normal 4-day Upper/Lower</x:v>
      </x:c>
      <x:c r="C6" s="68" t="str">
        <x:v>Normal / moderate deficit</x:v>
      </x:c>
      <x:c r="D6" s="68" t="str">
        <x:v>Four-day upper/lower plan for normal dieting, maintenance, or slow fat loss.</x:v>
      </x:c>
      <x:c r="E6" s="68" t="str">
        <x:v>lower-a</x:v>
      </x:c>
      <x:c r="F6" s="68" t="str">
        <x:v>Lower A</x:v>
      </x:c>
      <x:c r="G6" s="68" t="str">
        <x:v>Monday</x:v>
      </x:c>
      <x:c r="H6" s="68" t="n">
        <x:v>1</x:v>
      </x:c>
      <x:c r="I6" s="68" t="str"/>
      <x:c r="J6" s="68" t="str">
        <x:v>ul4-lower-a-5</x:v>
      </x:c>
      <x:c r="K6" s="68" t="str">
        <x:v>EX013</x:v>
      </x:c>
      <x:c r="L6" s="68" t="str">
        <x:v>Standing calf raise</x:v>
      </x:c>
      <x:c r="M6" s="68" t="n">
        <x:v>5</x:v>
      </x:c>
      <x:c r="N6" s="68" t="n">
        <x:v>3</x:v>
      </x:c>
      <x:c r="O6" s="68" t="str">
        <x:v>8-15</x:v>
      </x:c>
      <x:c r="P6" s="68" t="str">
        <x:v>1-2</x:v>
      </x:c>
      <x:c r="Q6" s="68" t="n">
        <x:v>90</x:v>
      </x:c>
      <x:c r="R6" s="68" t="str"/>
      <x:c r="S6" s="70" t="b">
        <x:v>1</x:v>
      </x:c>
      <x:c r="T6" s="83" t="n">
        <x:v>46222.416666666664</x:v>
      </x:c>
    </x:row>
    <x:row r="7">
      <x:c r="A7" s="67" t="str">
        <x:v>UL4</x:v>
      </x:c>
      <x:c r="B7" s="68" t="str">
        <x:v>Normal 4-day Upper/Lower</x:v>
      </x:c>
      <x:c r="C7" s="68" t="str">
        <x:v>Normal / moderate deficit</x:v>
      </x:c>
      <x:c r="D7" s="68" t="str">
        <x:v>Four-day upper/lower plan for normal dieting, maintenance, or slow fat loss.</x:v>
      </x:c>
      <x:c r="E7" s="68" t="str">
        <x:v>lower-a</x:v>
      </x:c>
      <x:c r="F7" s="68" t="str">
        <x:v>Lower A</x:v>
      </x:c>
      <x:c r="G7" s="68" t="str">
        <x:v>Monday</x:v>
      </x:c>
      <x:c r="H7" s="68" t="n">
        <x:v>1</x:v>
      </x:c>
      <x:c r="I7" s="68" t="str"/>
      <x:c r="J7" s="68" t="str">
        <x:v>ul4-lower-a-6</x:v>
      </x:c>
      <x:c r="K7" s="68" t="str">
        <x:v>EX124</x:v>
      </x:c>
      <x:c r="L7" s="68" t="str">
        <x:v>Dead bug or Pallof press</x:v>
      </x:c>
      <x:c r="M7" s="68" t="n">
        <x:v>6</x:v>
      </x:c>
      <x:c r="N7" s="68" t="n">
        <x:v>2</x:v>
      </x:c>
      <x:c r="O7" s="68" t="str">
        <x:v>10-15</x:v>
      </x:c>
      <x:c r="P7" s="68" t="str">
        <x:v>2</x:v>
      </x:c>
      <x:c r="Q7" s="68" t="n">
        <x:v>90</x:v>
      </x:c>
      <x:c r="R7" s="68" t="str"/>
      <x:c r="S7" s="70" t="b">
        <x:v>1</x:v>
      </x:c>
      <x:c r="T7" s="83" t="n">
        <x:v>46222.65625</x:v>
      </x:c>
    </x:row>
    <x:row r="8">
      <x:c r="A8" s="67" t="str">
        <x:v>UL4</x:v>
      </x:c>
      <x:c r="B8" s="68" t="str">
        <x:v>Normal 4-day Upper/Lower</x:v>
      </x:c>
      <x:c r="C8" s="68" t="str">
        <x:v>Normal / moderate deficit</x:v>
      </x:c>
      <x:c r="D8" s="68" t="str">
        <x:v>Four-day upper/lower plan for normal dieting, maintenance, or slow fat loss.</x:v>
      </x:c>
      <x:c r="E8" s="68" t="str">
        <x:v>upper-a</x:v>
      </x:c>
      <x:c r="F8" s="68" t="str">
        <x:v>Upper A</x:v>
      </x:c>
      <x:c r="G8" s="68" t="str">
        <x:v>Tuesday</x:v>
      </x:c>
      <x:c r="H8" s="68" t="n">
        <x:v>2</x:v>
      </x:c>
      <x:c r="I8" s="68" t="str"/>
      <x:c r="J8" s="68" t="str">
        <x:v>ul4-upper-a-1</x:v>
      </x:c>
      <x:c r="K8" s="68" t="str">
        <x:v>EX014</x:v>
      </x:c>
      <x:c r="L8" s="68" t="str">
        <x:v>Barbell bench press</x:v>
      </x:c>
      <x:c r="M8" s="68" t="n">
        <x:v>1</x:v>
      </x:c>
      <x:c r="N8" s="68" t="n">
        <x:v>3</x:v>
      </x:c>
      <x:c r="O8" s="68" t="str">
        <x:v>6-8</x:v>
      </x:c>
      <x:c r="P8" s="68" t="str">
        <x:v>1-2</x:v>
      </x:c>
      <x:c r="Q8" s="68" t="n">
        <x:v>150</x:v>
      </x:c>
      <x:c r="R8" s="68" t="str"/>
      <x:c r="S8" s="70" t="b">
        <x:v>1</x:v>
      </x:c>
      <x:c r="T8" s="83" t="n">
        <x:v>46222.416666666664</x:v>
      </x:c>
    </x:row>
    <x:row r="9">
      <x:c r="A9" s="67" t="str">
        <x:v>UL4</x:v>
      </x:c>
      <x:c r="B9" s="68" t="str">
        <x:v>Normal 4-day Upper/Lower</x:v>
      </x:c>
      <x:c r="C9" s="68" t="str">
        <x:v>Normal / moderate deficit</x:v>
      </x:c>
      <x:c r="D9" s="68" t="str">
        <x:v>Four-day upper/lower plan for normal dieting, maintenance, or slow fat loss.</x:v>
      </x:c>
      <x:c r="E9" s="68" t="str">
        <x:v>upper-a</x:v>
      </x:c>
      <x:c r="F9" s="68" t="str">
        <x:v>Upper A</x:v>
      </x:c>
      <x:c r="G9" s="68" t="str">
        <x:v>Tuesday</x:v>
      </x:c>
      <x:c r="H9" s="68" t="n">
        <x:v>2</x:v>
      </x:c>
      <x:c r="I9" s="68" t="str"/>
      <x:c r="J9" s="68" t="str">
        <x:v>ul4-upper-a-2</x:v>
      </x:c>
      <x:c r="K9" s="68" t="str">
        <x:v>EX023</x:v>
      </x:c>
      <x:c r="L9" s="68" t="str">
        <x:v>Chest-supported dumbbell row</x:v>
      </x:c>
      <x:c r="M9" s="68" t="n">
        <x:v>2</x:v>
      </x:c>
      <x:c r="N9" s="68" t="n">
        <x:v>3</x:v>
      </x:c>
      <x:c r="O9" s="68" t="str">
        <x:v>6-10</x:v>
      </x:c>
      <x:c r="P9" s="68" t="str">
        <x:v>1-2</x:v>
      </x:c>
      <x:c r="Q9" s="68" t="n">
        <x:v>150</x:v>
      </x:c>
      <x:c r="R9" s="68" t="str">
        <x:v>Back-friendly row option.</x:v>
      </x:c>
      <x:c r="S9" s="70" t="b">
        <x:v>1</x:v>
      </x:c>
      <x:c r="T9" s="83" t="n">
        <x:v>46222.416666666664</x:v>
      </x:c>
    </x:row>
    <x:row r="10">
      <x:c r="A10" s="67" t="str">
        <x:v>UL4</x:v>
      </x:c>
      <x:c r="B10" s="68" t="str">
        <x:v>Normal 4-day Upper/Lower</x:v>
      </x:c>
      <x:c r="C10" s="68" t="str">
        <x:v>Normal / moderate deficit</x:v>
      </x:c>
      <x:c r="D10" s="68" t="str">
        <x:v>Four-day upper/lower plan for normal dieting, maintenance, or slow fat loss.</x:v>
      </x:c>
      <x:c r="E10" s="68" t="str">
        <x:v>upper-a</x:v>
      </x:c>
      <x:c r="F10" s="68" t="str">
        <x:v>Upper A</x:v>
      </x:c>
      <x:c r="G10" s="68" t="str">
        <x:v>Tuesday</x:v>
      </x:c>
      <x:c r="H10" s="68" t="n">
        <x:v>2</x:v>
      </x:c>
      <x:c r="I10" s="68" t="str"/>
      <x:c r="J10" s="68" t="str">
        <x:v>ul4-upper-a-3</x:v>
      </x:c>
      <x:c r="K10" s="68" t="str">
        <x:v>EX016</x:v>
      </x:c>
      <x:c r="L10" s="68" t="str">
        <x:v>Incline dumbbell press</x:v>
      </x:c>
      <x:c r="M10" s="68" t="n">
        <x:v>3</x:v>
      </x:c>
      <x:c r="N10" s="68" t="n">
        <x:v>2</x:v>
      </x:c>
      <x:c r="O10" s="68" t="str">
        <x:v>8-12</x:v>
      </x:c>
      <x:c r="P10" s="68" t="str">
        <x:v>1-2</x:v>
      </x:c>
      <x:c r="Q10" s="68" t="n">
        <x:v>90</x:v>
      </x:c>
      <x:c r="R10" s="68" t="str"/>
      <x:c r="S10" s="70" t="b">
        <x:v>1</x:v>
      </x:c>
      <x:c r="T10" s="83" t="n">
        <x:v>46222.416666666664</x:v>
      </x:c>
    </x:row>
    <x:row r="11">
      <x:c r="A11" s="67" t="str">
        <x:v>UL4</x:v>
      </x:c>
      <x:c r="B11" s="68" t="str">
        <x:v>Normal 4-day Upper/Lower</x:v>
      </x:c>
      <x:c r="C11" s="68" t="str">
        <x:v>Normal / moderate deficit</x:v>
      </x:c>
      <x:c r="D11" s="68" t="str">
        <x:v>Four-day upper/lower plan for normal dieting, maintenance, or slow fat loss.</x:v>
      </x:c>
      <x:c r="E11" s="68" t="str">
        <x:v>upper-a</x:v>
      </x:c>
      <x:c r="F11" s="68" t="str">
        <x:v>Upper A</x:v>
      </x:c>
      <x:c r="G11" s="68" t="str">
        <x:v>Tuesday</x:v>
      </x:c>
      <x:c r="H11" s="68" t="n">
        <x:v>2</x:v>
      </x:c>
      <x:c r="I11" s="68" t="str"/>
      <x:c r="J11" s="68" t="str">
        <x:v>ul4-upper-a-4</x:v>
      </x:c>
      <x:c r="K11" s="68" t="str">
        <x:v>EX125</x:v>
      </x:c>
      <x:c r="L11" s="68" t="str">
        <x:v>Cable lat pulldown or ring chin-up</x:v>
      </x:c>
      <x:c r="M11" s="68" t="n">
        <x:v>4</x:v>
      </x:c>
      <x:c r="N11" s="68" t="n">
        <x:v>2</x:v>
      </x:c>
      <x:c r="O11" s="68" t="str">
        <x:v>8-12</x:v>
      </x:c>
      <x:c r="P11" s="68" t="str">
        <x:v>1-2</x:v>
      </x:c>
      <x:c r="Q11" s="68" t="n">
        <x:v>90</x:v>
      </x:c>
      <x:c r="R11" s="68" t="str"/>
      <x:c r="S11" s="70" t="b">
        <x:v>1</x:v>
      </x:c>
      <x:c r="T11" s="83" t="n">
        <x:v>46222.65625</x:v>
      </x:c>
    </x:row>
    <x:row r="12">
      <x:c r="A12" s="67" t="str">
        <x:v>UL4</x:v>
      </x:c>
      <x:c r="B12" s="68" t="str">
        <x:v>Normal 4-day Upper/Lower</x:v>
      </x:c>
      <x:c r="C12" s="68" t="str">
        <x:v>Normal / moderate deficit</x:v>
      </x:c>
      <x:c r="D12" s="68" t="str">
        <x:v>Four-day upper/lower plan for normal dieting, maintenance, or slow fat loss.</x:v>
      </x:c>
      <x:c r="E12" s="68" t="str">
        <x:v>upper-a</x:v>
      </x:c>
      <x:c r="F12" s="68" t="str">
        <x:v>Upper A</x:v>
      </x:c>
      <x:c r="G12" s="68" t="str">
        <x:v>Tuesday</x:v>
      </x:c>
      <x:c r="H12" s="68" t="n">
        <x:v>2</x:v>
      </x:c>
      <x:c r="I12" s="68" t="str"/>
      <x:c r="J12" s="68" t="str">
        <x:v>ul4-upper-a-5</x:v>
      </x:c>
      <x:c r="K12" s="68" t="str">
        <x:v>EX033</x:v>
      </x:c>
      <x:c r="L12" s="68" t="str">
        <x:v>Cable lateral raise</x:v>
      </x:c>
      <x:c r="M12" s="68" t="n">
        <x:v>5</x:v>
      </x:c>
      <x:c r="N12" s="68" t="n">
        <x:v>3</x:v>
      </x:c>
      <x:c r="O12" s="68" t="str">
        <x:v>12-20</x:v>
      </x:c>
      <x:c r="P12" s="68" t="str">
        <x:v>1</x:v>
      </x:c>
      <x:c r="Q12" s="68" t="n">
        <x:v>90</x:v>
      </x:c>
      <x:c r="R12" s="68" t="str">
        <x:v>GVS-style controlled delt work.</x:v>
      </x:c>
      <x:c r="S12" s="70" t="b">
        <x:v>1</x:v>
      </x:c>
      <x:c r="T12" s="83" t="n">
        <x:v>46222.416666666664</x:v>
      </x:c>
    </x:row>
    <x:row r="13">
      <x:c r="A13" s="67" t="str">
        <x:v>UL4</x:v>
      </x:c>
      <x:c r="B13" s="68" t="str">
        <x:v>Normal 4-day Upper/Lower</x:v>
      </x:c>
      <x:c r="C13" s="68" t="str">
        <x:v>Normal / moderate deficit</x:v>
      </x:c>
      <x:c r="D13" s="68" t="str">
        <x:v>Four-day upper/lower plan for normal dieting, maintenance, or slow fat loss.</x:v>
      </x:c>
      <x:c r="E13" s="68" t="str">
        <x:v>upper-a</x:v>
      </x:c>
      <x:c r="F13" s="68" t="str">
        <x:v>Upper A</x:v>
      </x:c>
      <x:c r="G13" s="68" t="str">
        <x:v>Tuesday</x:v>
      </x:c>
      <x:c r="H13" s="68" t="n">
        <x:v>2</x:v>
      </x:c>
      <x:c r="I13" s="68" t="str"/>
      <x:c r="J13" s="68" t="str">
        <x:v>ul4-upper-a-6</x:v>
      </x:c>
      <x:c r="K13" s="68" t="str">
        <x:v>EX038</x:v>
      </x:c>
      <x:c r="L13" s="68" t="str">
        <x:v>Cable triceps pushdown</x:v>
      </x:c>
      <x:c r="M13" s="68" t="n">
        <x:v>6</x:v>
      </x:c>
      <x:c r="N13" s="68" t="n">
        <x:v>2</x:v>
      </x:c>
      <x:c r="O13" s="68" t="str">
        <x:v>10-15</x:v>
      </x:c>
      <x:c r="P13" s="68" t="str">
        <x:v>1</x:v>
      </x:c>
      <x:c r="Q13" s="68" t="n">
        <x:v>90</x:v>
      </x:c>
      <x:c r="R13" s="68" t="str"/>
      <x:c r="S13" s="70" t="b">
        <x:v>1</x:v>
      </x:c>
      <x:c r="T13" s="83" t="n">
        <x:v>46222.416666666664</x:v>
      </x:c>
    </x:row>
    <x:row r="14">
      <x:c r="A14" s="67" t="str">
        <x:v>UL4</x:v>
      </x:c>
      <x:c r="B14" s="68" t="str">
        <x:v>Normal 4-day Upper/Lower</x:v>
      </x:c>
      <x:c r="C14" s="68" t="str">
        <x:v>Normal / moderate deficit</x:v>
      </x:c>
      <x:c r="D14" s="68" t="str">
        <x:v>Four-day upper/lower plan for normal dieting, maintenance, or slow fat loss.</x:v>
      </x:c>
      <x:c r="E14" s="68" t="str">
        <x:v>upper-a</x:v>
      </x:c>
      <x:c r="F14" s="68" t="str">
        <x:v>Upper A</x:v>
      </x:c>
      <x:c r="G14" s="68" t="str">
        <x:v>Tuesday</x:v>
      </x:c>
      <x:c r="H14" s="68" t="n">
        <x:v>2</x:v>
      </x:c>
      <x:c r="I14" s="68" t="str"/>
      <x:c r="J14" s="68" t="str">
        <x:v>ul4-upper-a-7</x:v>
      </x:c>
      <x:c r="K14" s="68" t="str">
        <x:v>EX126</x:v>
      </x:c>
      <x:c r="L14" s="68" t="str">
        <x:v>Incline dumbbell or cable curl</x:v>
      </x:c>
      <x:c r="M14" s="68" t="n">
        <x:v>7</x:v>
      </x:c>
      <x:c r="N14" s="68" t="n">
        <x:v>2</x:v>
      </x:c>
      <x:c r="O14" s="68" t="str">
        <x:v>10-15</x:v>
      </x:c>
      <x:c r="P14" s="68" t="str">
        <x:v>1</x:v>
      </x:c>
      <x:c r="Q14" s="68" t="n">
        <x:v>90</x:v>
      </x:c>
      <x:c r="R14" s="68" t="str"/>
      <x:c r="S14" s="70" t="b">
        <x:v>1</x:v>
      </x:c>
      <x:c r="T14" s="83" t="n">
        <x:v>46222.65625</x:v>
      </x:c>
    </x:row>
    <x:row r="15">
      <x:c r="A15" s="67" t="str">
        <x:v>UL4</x:v>
      </x:c>
      <x:c r="B15" s="68" t="str">
        <x:v>Normal 4-day Upper/Lower</x:v>
      </x:c>
      <x:c r="C15" s="68" t="str">
        <x:v>Normal / moderate deficit</x:v>
      </x:c>
      <x:c r="D15" s="68" t="str">
        <x:v>Four-day upper/lower plan for normal dieting, maintenance, or slow fat loss.</x:v>
      </x:c>
      <x:c r="E15" s="68" t="str">
        <x:v>lower-b</x:v>
      </x:c>
      <x:c r="F15" s="68" t="str">
        <x:v>Lower B</x:v>
      </x:c>
      <x:c r="G15" s="68" t="str">
        <x:v>Thursday</x:v>
      </x:c>
      <x:c r="H15" s="68" t="n">
        <x:v>3</x:v>
      </x:c>
      <x:c r="I15" s="68" t="str"/>
      <x:c r="J15" s="68" t="str">
        <x:v>ul4-lower-b-1</x:v>
      </x:c>
      <x:c r="K15" s="68" t="str">
        <x:v>EX127</x:v>
      </x:c>
      <x:c r="L15" s="68" t="str">
        <x:v>Front squat or heels-elevated squat</x:v>
      </x:c>
      <x:c r="M15" s="68" t="n">
        <x:v>1</x:v>
      </x:c>
      <x:c r="N15" s="68" t="n">
        <x:v>3</x:v>
      </x:c>
      <x:c r="O15" s="68" t="str">
        <x:v>6-10</x:v>
      </x:c>
      <x:c r="P15" s="68" t="str">
        <x:v>1-2</x:v>
      </x:c>
      <x:c r="Q15" s="68" t="n">
        <x:v>150</x:v>
      </x:c>
      <x:c r="R15" s="68" t="str">
        <x:v>Choose the squat pattern that feels best.</x:v>
      </x:c>
      <x:c r="S15" s="70" t="b">
        <x:v>1</x:v>
      </x:c>
      <x:c r="T15" s="83" t="n">
        <x:v>46222.65625</x:v>
      </x:c>
    </x:row>
    <x:row r="16">
      <x:c r="A16" s="67" t="str">
        <x:v>UL4</x:v>
      </x:c>
      <x:c r="B16" s="68" t="str">
        <x:v>Normal 4-day Upper/Lower</x:v>
      </x:c>
      <x:c r="C16" s="68" t="str">
        <x:v>Normal / moderate deficit</x:v>
      </x:c>
      <x:c r="D16" s="68" t="str">
        <x:v>Four-day upper/lower plan for normal dieting, maintenance, or slow fat loss.</x:v>
      </x:c>
      <x:c r="E16" s="68" t="str">
        <x:v>lower-b</x:v>
      </x:c>
      <x:c r="F16" s="68" t="str">
        <x:v>Lower B</x:v>
      </x:c>
      <x:c r="G16" s="68" t="str">
        <x:v>Thursday</x:v>
      </x:c>
      <x:c r="H16" s="68" t="n">
        <x:v>3</x:v>
      </x:c>
      <x:c r="I16" s="68" t="str"/>
      <x:c r="J16" s="68" t="str">
        <x:v>ul4-lower-b-2</x:v>
      </x:c>
      <x:c r="K16" s="68" t="str">
        <x:v>EX010</x:v>
      </x:c>
      <x:c r="L16" s="68" t="str">
        <x:v>Barbell hip thrust</x:v>
      </x:c>
      <x:c r="M16" s="68" t="n">
        <x:v>2</x:v>
      </x:c>
      <x:c r="N16" s="68" t="n">
        <x:v>3</x:v>
      </x:c>
      <x:c r="O16" s="68" t="str">
        <x:v>8-12</x:v>
      </x:c>
      <x:c r="P16" s="68" t="str">
        <x:v>1-2</x:v>
      </x:c>
      <x:c r="Q16" s="68" t="n">
        <x:v>150</x:v>
      </x:c>
      <x:c r="R16" s="68" t="str"/>
      <x:c r="S16" s="70" t="b">
        <x:v>1</x:v>
      </x:c>
      <x:c r="T16" s="83" t="n">
        <x:v>46222.416666666664</x:v>
      </x:c>
    </x:row>
    <x:row r="17">
      <x:c r="A17" s="67" t="str">
        <x:v>UL4</x:v>
      </x:c>
      <x:c r="B17" s="68" t="str">
        <x:v>Normal 4-day Upper/Lower</x:v>
      </x:c>
      <x:c r="C17" s="68" t="str">
        <x:v>Normal / moderate deficit</x:v>
      </x:c>
      <x:c r="D17" s="68" t="str">
        <x:v>Four-day upper/lower plan for normal dieting, maintenance, or slow fat loss.</x:v>
      </x:c>
      <x:c r="E17" s="68" t="str">
        <x:v>lower-b</x:v>
      </x:c>
      <x:c r="F17" s="68" t="str">
        <x:v>Lower B</x:v>
      </x:c>
      <x:c r="G17" s="68" t="str">
        <x:v>Thursday</x:v>
      </x:c>
      <x:c r="H17" s="68" t="n">
        <x:v>3</x:v>
      </x:c>
      <x:c r="I17" s="68" t="str"/>
      <x:c r="J17" s="68" t="str">
        <x:v>ul4-lower-b-3</x:v>
      </x:c>
      <x:c r="K17" s="68" t="str">
        <x:v>EX007</x:v>
      </x:c>
      <x:c r="L17" s="68" t="str">
        <x:v>Reverse lunge</x:v>
      </x:c>
      <x:c r="M17" s="68" t="n">
        <x:v>3</x:v>
      </x:c>
      <x:c r="N17" s="68" t="n">
        <x:v>2</x:v>
      </x:c>
      <x:c r="O17" s="68" t="str">
        <x:v>8-12 each leg</x:v>
      </x:c>
      <x:c r="P17" s="68" t="str">
        <x:v>1-2</x:v>
      </x:c>
      <x:c r="Q17" s="68" t="n">
        <x:v>90</x:v>
      </x:c>
      <x:c r="R17" s="68" t="str"/>
      <x:c r="S17" s="70" t="b">
        <x:v>1</x:v>
      </x:c>
      <x:c r="T17" s="83" t="n">
        <x:v>46222.416666666664</x:v>
      </x:c>
    </x:row>
    <x:row r="18">
      <x:c r="A18" s="67" t="str">
        <x:v>UL4</x:v>
      </x:c>
      <x:c r="B18" s="68" t="str">
        <x:v>Normal 4-day Upper/Lower</x:v>
      </x:c>
      <x:c r="C18" s="68" t="str">
        <x:v>Normal / moderate deficit</x:v>
      </x:c>
      <x:c r="D18" s="68" t="str">
        <x:v>Four-day upper/lower plan for normal dieting, maintenance, or slow fat loss.</x:v>
      </x:c>
      <x:c r="E18" s="68" t="str">
        <x:v>lower-b</x:v>
      </x:c>
      <x:c r="F18" s="68" t="str">
        <x:v>Lower B</x:v>
      </x:c>
      <x:c r="G18" s="68" t="str">
        <x:v>Thursday</x:v>
      </x:c>
      <x:c r="H18" s="68" t="n">
        <x:v>3</x:v>
      </x:c>
      <x:c r="I18" s="68" t="str"/>
      <x:c r="J18" s="68" t="str">
        <x:v>ul4-lower-b-4</x:v>
      </x:c>
      <x:c r="K18" s="68" t="str">
        <x:v>EX012</x:v>
      </x:c>
      <x:c r="L18" s="68" t="str">
        <x:v>Cable leg curl</x:v>
      </x:c>
      <x:c r="M18" s="68" t="n">
        <x:v>4</x:v>
      </x:c>
      <x:c r="N18" s="68" t="n">
        <x:v>2</x:v>
      </x:c>
      <x:c r="O18" s="68" t="str">
        <x:v>12-20</x:v>
      </x:c>
      <x:c r="P18" s="68" t="str">
        <x:v>1-2</x:v>
      </x:c>
      <x:c r="Q18" s="68" t="n">
        <x:v>90</x:v>
      </x:c>
      <x:c r="R18" s="68" t="str"/>
      <x:c r="S18" s="70" t="b">
        <x:v>1</x:v>
      </x:c>
      <x:c r="T18" s="83" t="n">
        <x:v>46222.416666666664</x:v>
      </x:c>
    </x:row>
    <x:row r="19">
      <x:c r="A19" s="67" t="str">
        <x:v>UL4</x:v>
      </x:c>
      <x:c r="B19" s="68" t="str">
        <x:v>Normal 4-day Upper/Lower</x:v>
      </x:c>
      <x:c r="C19" s="68" t="str">
        <x:v>Normal / moderate deficit</x:v>
      </x:c>
      <x:c r="D19" s="68" t="str">
        <x:v>Four-day upper/lower plan for normal dieting, maintenance, or slow fat loss.</x:v>
      </x:c>
      <x:c r="E19" s="68" t="str">
        <x:v>lower-b</x:v>
      </x:c>
      <x:c r="F19" s="68" t="str">
        <x:v>Lower B</x:v>
      </x:c>
      <x:c r="G19" s="68" t="str">
        <x:v>Thursday</x:v>
      </x:c>
      <x:c r="H19" s="68" t="n">
        <x:v>3</x:v>
      </x:c>
      <x:c r="I19" s="68" t="str"/>
      <x:c r="J19" s="68" t="str">
        <x:v>ul4-lower-b-5</x:v>
      </x:c>
      <x:c r="K19" s="68" t="str">
        <x:v>EX013</x:v>
      </x:c>
      <x:c r="L19" s="68" t="str">
        <x:v>Standing calf raise</x:v>
      </x:c>
      <x:c r="M19" s="68" t="n">
        <x:v>5</x:v>
      </x:c>
      <x:c r="N19" s="68" t="n">
        <x:v>3</x:v>
      </x:c>
      <x:c r="O19" s="68" t="str">
        <x:v>12-20</x:v>
      </x:c>
      <x:c r="P19" s="68" t="str">
        <x:v>1-2</x:v>
      </x:c>
      <x:c r="Q19" s="68" t="n">
        <x:v>90</x:v>
      </x:c>
      <x:c r="R19" s="68" t="str"/>
      <x:c r="S19" s="70" t="b">
        <x:v>1</x:v>
      </x:c>
      <x:c r="T19" s="83" t="n">
        <x:v>46222.416666666664</x:v>
      </x:c>
    </x:row>
    <x:row r="20">
      <x:c r="A20" s="67" t="str">
        <x:v>UL4</x:v>
      </x:c>
      <x:c r="B20" s="68" t="str">
        <x:v>Normal 4-day Upper/Lower</x:v>
      </x:c>
      <x:c r="C20" s="68" t="str">
        <x:v>Normal / moderate deficit</x:v>
      </x:c>
      <x:c r="D20" s="68" t="str">
        <x:v>Four-day upper/lower plan for normal dieting, maintenance, or slow fat loss.</x:v>
      </x:c>
      <x:c r="E20" s="68" t="str">
        <x:v>lower-b</x:v>
      </x:c>
      <x:c r="F20" s="68" t="str">
        <x:v>Lower B</x:v>
      </x:c>
      <x:c r="G20" s="68" t="str">
        <x:v>Thursday</x:v>
      </x:c>
      <x:c r="H20" s="68" t="n">
        <x:v>3</x:v>
      </x:c>
      <x:c r="I20" s="68" t="str"/>
      <x:c r="J20" s="68" t="str">
        <x:v>ul4-lower-b-6</x:v>
      </x:c>
      <x:c r="K20" s="68" t="str">
        <x:v>EX128</x:v>
      </x:c>
      <x:c r="L20" s="68" t="str">
        <x:v>Ab wheel or cable crunch</x:v>
      </x:c>
      <x:c r="M20" s="68" t="n">
        <x:v>6</x:v>
      </x:c>
      <x:c r="N20" s="68" t="n">
        <x:v>2</x:v>
      </x:c>
      <x:c r="O20" s="68" t="str">
        <x:v>8-15</x:v>
      </x:c>
      <x:c r="P20" s="68" t="str">
        <x:v>1-2</x:v>
      </x:c>
      <x:c r="Q20" s="68" t="n">
        <x:v>90</x:v>
      </x:c>
      <x:c r="R20" s="68" t="str"/>
      <x:c r="S20" s="70" t="b">
        <x:v>1</x:v>
      </x:c>
      <x:c r="T20" s="83" t="n">
        <x:v>46222.65625</x:v>
      </x:c>
    </x:row>
    <x:row r="21">
      <x:c r="A21" s="67" t="str">
        <x:v>UL4</x:v>
      </x:c>
      <x:c r="B21" s="68" t="str">
        <x:v>Normal 4-day Upper/Lower</x:v>
      </x:c>
      <x:c r="C21" s="68" t="str">
        <x:v>Normal / moderate deficit</x:v>
      </x:c>
      <x:c r="D21" s="68" t="str">
        <x:v>Four-day upper/lower plan for normal dieting, maintenance, or slow fat loss.</x:v>
      </x:c>
      <x:c r="E21" s="68" t="str">
        <x:v>upper-b</x:v>
      </x:c>
      <x:c r="F21" s="68" t="str">
        <x:v>Upper B</x:v>
      </x:c>
      <x:c r="G21" s="68" t="str">
        <x:v>Friday</x:v>
      </x:c>
      <x:c r="H21" s="68" t="n">
        <x:v>4</x:v>
      </x:c>
      <x:c r="I21" s="68" t="str"/>
      <x:c r="J21" s="68" t="str">
        <x:v>ul4-upper-b-1</x:v>
      </x:c>
      <x:c r="K21" s="68" t="str">
        <x:v>EX129</x:v>
      </x:c>
      <x:c r="L21" s="68" t="str">
        <x:v>Weighted chin-up or heavy pulldown</x:v>
      </x:c>
      <x:c r="M21" s="68" t="n">
        <x:v>1</x:v>
      </x:c>
      <x:c r="N21" s="68" t="n">
        <x:v>3</x:v>
      </x:c>
      <x:c r="O21" s="68" t="str">
        <x:v>6-8</x:v>
      </x:c>
      <x:c r="P21" s="68" t="str">
        <x:v>1-2</x:v>
      </x:c>
      <x:c r="Q21" s="68" t="n">
        <x:v>150</x:v>
      </x:c>
      <x:c r="R21" s="68" t="str"/>
      <x:c r="S21" s="70" t="b">
        <x:v>1</x:v>
      </x:c>
      <x:c r="T21" s="83" t="n">
        <x:v>46222.65625</x:v>
      </x:c>
    </x:row>
    <x:row r="22">
      <x:c r="A22" s="67" t="str">
        <x:v>UL4</x:v>
      </x:c>
      <x:c r="B22" s="68" t="str">
        <x:v>Normal 4-day Upper/Lower</x:v>
      </x:c>
      <x:c r="C22" s="68" t="str">
        <x:v>Normal / moderate deficit</x:v>
      </x:c>
      <x:c r="D22" s="68" t="str">
        <x:v>Four-day upper/lower plan for normal dieting, maintenance, or slow fat loss.</x:v>
      </x:c>
      <x:c r="E22" s="68" t="str">
        <x:v>upper-b</x:v>
      </x:c>
      <x:c r="F22" s="68" t="str">
        <x:v>Upper B</x:v>
      </x:c>
      <x:c r="G22" s="68" t="str">
        <x:v>Friday</x:v>
      </x:c>
      <x:c r="H22" s="68" t="n">
        <x:v>4</x:v>
      </x:c>
      <x:c r="I22" s="68" t="str"/>
      <x:c r="J22" s="68" t="str">
        <x:v>ul4-upper-b-2</x:v>
      </x:c>
      <x:c r="K22" s="68" t="str">
        <x:v>EX020</x:v>
      </x:c>
      <x:c r="L22" s="68" t="str">
        <x:v>Seated dumbbell overhead press</x:v>
      </x:c>
      <x:c r="M22" s="68" t="n">
        <x:v>2</x:v>
      </x:c>
      <x:c r="N22" s="68" t="n">
        <x:v>3</x:v>
      </x:c>
      <x:c r="O22" s="68" t="str">
        <x:v>6-10</x:v>
      </x:c>
      <x:c r="P22" s="68" t="str">
        <x:v>1-2</x:v>
      </x:c>
      <x:c r="Q22" s="68" t="n">
        <x:v>150</x:v>
      </x:c>
      <x:c r="R22" s="68" t="str"/>
      <x:c r="S22" s="70" t="b">
        <x:v>1</x:v>
      </x:c>
      <x:c r="T22" s="83" t="n">
        <x:v>46222.416666666664</x:v>
      </x:c>
    </x:row>
    <x:row r="23">
      <x:c r="A23" s="67" t="str">
        <x:v>UL4</x:v>
      </x:c>
      <x:c r="B23" s="68" t="str">
        <x:v>Normal 4-day Upper/Lower</x:v>
      </x:c>
      <x:c r="C23" s="68" t="str">
        <x:v>Normal / moderate deficit</x:v>
      </x:c>
      <x:c r="D23" s="68" t="str">
        <x:v>Four-day upper/lower plan for normal dieting, maintenance, or slow fat loss.</x:v>
      </x:c>
      <x:c r="E23" s="68" t="str">
        <x:v>upper-b</x:v>
      </x:c>
      <x:c r="F23" s="68" t="str">
        <x:v>Upper B</x:v>
      </x:c>
      <x:c r="G23" s="68" t="str">
        <x:v>Friday</x:v>
      </x:c>
      <x:c r="H23" s="68" t="n">
        <x:v>4</x:v>
      </x:c>
      <x:c r="I23" s="68" t="str"/>
      <x:c r="J23" s="68" t="str">
        <x:v>ul4-upper-b-3</x:v>
      </x:c>
      <x:c r="K23" s="68" t="str">
        <x:v>EX024</x:v>
      </x:c>
      <x:c r="L23" s="68" t="str">
        <x:v>One-arm cable row</x:v>
      </x:c>
      <x:c r="M23" s="68" t="n">
        <x:v>3</x:v>
      </x:c>
      <x:c r="N23" s="68" t="n">
        <x:v>2</x:v>
      </x:c>
      <x:c r="O23" s="68" t="str">
        <x:v>8-12</x:v>
      </x:c>
      <x:c r="P23" s="68" t="str">
        <x:v>1-2</x:v>
      </x:c>
      <x:c r="Q23" s="68" t="n">
        <x:v>90</x:v>
      </x:c>
      <x:c r="R23" s="68" t="str"/>
      <x:c r="S23" s="70" t="b">
        <x:v>1</x:v>
      </x:c>
      <x:c r="T23" s="83" t="n">
        <x:v>46222.416666666664</x:v>
      </x:c>
    </x:row>
    <x:row r="24">
      <x:c r="A24" s="67" t="str">
        <x:v>UL4</x:v>
      </x:c>
      <x:c r="B24" s="68" t="str">
        <x:v>Normal 4-day Upper/Lower</x:v>
      </x:c>
      <x:c r="C24" s="68" t="str">
        <x:v>Normal / moderate deficit</x:v>
      </x:c>
      <x:c r="D24" s="68" t="str">
        <x:v>Four-day upper/lower plan for normal dieting, maintenance, or slow fat loss.</x:v>
      </x:c>
      <x:c r="E24" s="68" t="str">
        <x:v>upper-b</x:v>
      </x:c>
      <x:c r="F24" s="68" t="str">
        <x:v>Upper B</x:v>
      </x:c>
      <x:c r="G24" s="68" t="str">
        <x:v>Friday</x:v>
      </x:c>
      <x:c r="H24" s="68" t="n">
        <x:v>4</x:v>
      </x:c>
      <x:c r="I24" s="68" t="str"/>
      <x:c r="J24" s="68" t="str">
        <x:v>ul4-upper-b-4</x:v>
      </x:c>
      <x:c r="K24" s="68" t="str">
        <x:v>EX130</x:v>
      </x:c>
      <x:c r="L24" s="68" t="str">
        <x:v>Close-grip bench press or weighted ring push-up</x:v>
      </x:c>
      <x:c r="M24" s="68" t="n">
        <x:v>4</x:v>
      </x:c>
      <x:c r="N24" s="68" t="n">
        <x:v>2</x:v>
      </x:c>
      <x:c r="O24" s="68" t="str">
        <x:v>8-12</x:v>
      </x:c>
      <x:c r="P24" s="68" t="str">
        <x:v>1-2</x:v>
      </x:c>
      <x:c r="Q24" s="68" t="n">
        <x:v>90</x:v>
      </x:c>
      <x:c r="R24" s="68" t="str"/>
      <x:c r="S24" s="70" t="b">
        <x:v>1</x:v>
      </x:c>
      <x:c r="T24" s="83" t="n">
        <x:v>46222.65625</x:v>
      </x:c>
    </x:row>
    <x:row r="25">
      <x:c r="A25" s="67" t="str">
        <x:v>UL4</x:v>
      </x:c>
      <x:c r="B25" s="68" t="str">
        <x:v>Normal 4-day Upper/Lower</x:v>
      </x:c>
      <x:c r="C25" s="68" t="str">
        <x:v>Normal / moderate deficit</x:v>
      </x:c>
      <x:c r="D25" s="68" t="str">
        <x:v>Four-day upper/lower plan for normal dieting, maintenance, or slow fat loss.</x:v>
      </x:c>
      <x:c r="E25" s="68" t="str">
        <x:v>upper-b</x:v>
      </x:c>
      <x:c r="F25" s="68" t="str">
        <x:v>Upper B</x:v>
      </x:c>
      <x:c r="G25" s="68" t="str">
        <x:v>Friday</x:v>
      </x:c>
      <x:c r="H25" s="68" t="n">
        <x:v>4</x:v>
      </x:c>
      <x:c r="I25" s="68" t="str"/>
      <x:c r="J25" s="68" t="str">
        <x:v>ul4-upper-b-5</x:v>
      </x:c>
      <x:c r="K25" s="68" t="str">
        <x:v>EX131</x:v>
      </x:c>
      <x:c r="L25" s="68" t="str">
        <x:v>Cable rear-delt fly or face pull</x:v>
      </x:c>
      <x:c r="M25" s="68" t="n">
        <x:v>5</x:v>
      </x:c>
      <x:c r="N25" s="68" t="n">
        <x:v>3</x:v>
      </x:c>
      <x:c r="O25" s="68" t="str">
        <x:v>12-20</x:v>
      </x:c>
      <x:c r="P25" s="68" t="str">
        <x:v>1</x:v>
      </x:c>
      <x:c r="Q25" s="68" t="n">
        <x:v>90</x:v>
      </x:c>
      <x:c r="R25" s="68" t="str"/>
      <x:c r="S25" s="70" t="b">
        <x:v>1</x:v>
      </x:c>
      <x:c r="T25" s="83" t="n">
        <x:v>46222.65625</x:v>
      </x:c>
    </x:row>
    <x:row r="26">
      <x:c r="A26" s="67" t="str">
        <x:v>UL4</x:v>
      </x:c>
      <x:c r="B26" s="68" t="str">
        <x:v>Normal 4-day Upper/Lower</x:v>
      </x:c>
      <x:c r="C26" s="68" t="str">
        <x:v>Normal / moderate deficit</x:v>
      </x:c>
      <x:c r="D26" s="68" t="str">
        <x:v>Four-day upper/lower plan for normal dieting, maintenance, or slow fat loss.</x:v>
      </x:c>
      <x:c r="E26" s="68" t="str">
        <x:v>upper-b</x:v>
      </x:c>
      <x:c r="F26" s="68" t="str">
        <x:v>Upper B</x:v>
      </x:c>
      <x:c r="G26" s="68" t="str">
        <x:v>Friday</x:v>
      </x:c>
      <x:c r="H26" s="68" t="n">
        <x:v>4</x:v>
      </x:c>
      <x:c r="I26" s="68" t="str"/>
      <x:c r="J26" s="68" t="str">
        <x:v>ul4-upper-b-6</x:v>
      </x:c>
      <x:c r="K26" s="68" t="str">
        <x:v>EX033</x:v>
      </x:c>
      <x:c r="L26" s="68" t="str">
        <x:v>Cable lateral raise</x:v>
      </x:c>
      <x:c r="M26" s="68" t="n">
        <x:v>6</x:v>
      </x:c>
      <x:c r="N26" s="68" t="n">
        <x:v>2</x:v>
      </x:c>
      <x:c r="O26" s="68" t="str">
        <x:v>12-20</x:v>
      </x:c>
      <x:c r="P26" s="68" t="str">
        <x:v>1</x:v>
      </x:c>
      <x:c r="Q26" s="68" t="n">
        <x:v>90</x:v>
      </x:c>
      <x:c r="R26" s="68" t="str"/>
      <x:c r="S26" s="70" t="b">
        <x:v>1</x:v>
      </x:c>
      <x:c r="T26" s="83" t="n">
        <x:v>46222.416666666664</x:v>
      </x:c>
    </x:row>
    <x:row r="27">
      <x:c r="A27" s="67" t="str">
        <x:v>UL4</x:v>
      </x:c>
      <x:c r="B27" s="68" t="str">
        <x:v>Normal 4-day Upper/Lower</x:v>
      </x:c>
      <x:c r="C27" s="68" t="str">
        <x:v>Normal / moderate deficit</x:v>
      </x:c>
      <x:c r="D27" s="68" t="str">
        <x:v>Four-day upper/lower plan for normal dieting, maintenance, or slow fat loss.</x:v>
      </x:c>
      <x:c r="E27" s="68" t="str">
        <x:v>upper-b</x:v>
      </x:c>
      <x:c r="F27" s="68" t="str">
        <x:v>Upper B</x:v>
      </x:c>
      <x:c r="G27" s="68" t="str">
        <x:v>Friday</x:v>
      </x:c>
      <x:c r="H27" s="68" t="n">
        <x:v>4</x:v>
      </x:c>
      <x:c r="I27" s="68" t="str"/>
      <x:c r="J27" s="68" t="str">
        <x:v>ul4-upper-b-7</x:v>
      </x:c>
      <x:c r="K27" s="68" t="str">
        <x:v>EX039</x:v>
      </x:c>
      <x:c r="L27" s="68" t="str">
        <x:v>Overhead cable triceps extension</x:v>
      </x:c>
      <x:c r="M27" s="68" t="n">
        <x:v>7</x:v>
      </x:c>
      <x:c r="N27" s="68" t="n">
        <x:v>2</x:v>
      </x:c>
      <x:c r="O27" s="68" t="str">
        <x:v>10-15</x:v>
      </x:c>
      <x:c r="P27" s="68" t="str">
        <x:v>1</x:v>
      </x:c>
      <x:c r="Q27" s="68" t="n">
        <x:v>90</x:v>
      </x:c>
      <x:c r="R27" s="68" t="str"/>
      <x:c r="S27" s="70" t="b">
        <x:v>1</x:v>
      </x:c>
      <x:c r="T27" s="83" t="n">
        <x:v>46222.416666666664</x:v>
      </x:c>
    </x:row>
    <x:row r="28">
      <x:c r="A28" s="67" t="str">
        <x:v>UL4</x:v>
      </x:c>
      <x:c r="B28" s="68" t="str">
        <x:v>Normal 4-day Upper/Lower</x:v>
      </x:c>
      <x:c r="C28" s="68" t="str">
        <x:v>Normal / moderate deficit</x:v>
      </x:c>
      <x:c r="D28" s="68" t="str">
        <x:v>Four-day upper/lower plan for normal dieting, maintenance, or slow fat loss.</x:v>
      </x:c>
      <x:c r="E28" s="68" t="str">
        <x:v>upper-b</x:v>
      </x:c>
      <x:c r="F28" s="68" t="str">
        <x:v>Upper B</x:v>
      </x:c>
      <x:c r="G28" s="68" t="str">
        <x:v>Friday</x:v>
      </x:c>
      <x:c r="H28" s="68" t="n">
        <x:v>4</x:v>
      </x:c>
      <x:c r="I28" s="68" t="str"/>
      <x:c r="J28" s="68" t="str">
        <x:v>ul4-upper-b-8</x:v>
      </x:c>
      <x:c r="K28" s="68" t="str">
        <x:v>EX043</x:v>
      </x:c>
      <x:c r="L28" s="68" t="str">
        <x:v>Dumbbell hammer curl</x:v>
      </x:c>
      <x:c r="M28" s="68" t="n">
        <x:v>8</x:v>
      </x:c>
      <x:c r="N28" s="68" t="n">
        <x:v>2</x:v>
      </x:c>
      <x:c r="O28" s="68" t="str">
        <x:v>10-15</x:v>
      </x:c>
      <x:c r="P28" s="68" t="str">
        <x:v>1</x:v>
      </x:c>
      <x:c r="Q28" s="68" t="n">
        <x:v>90</x:v>
      </x:c>
      <x:c r="R28" s="68" t="str"/>
      <x:c r="S28" s="70" t="b">
        <x:v>1</x:v>
      </x:c>
      <x:c r="T28" s="83" t="n">
        <x:v>46222.416666666664</x:v>
      </x:c>
    </x:row>
    <x:row r="29">
      <x:c r="A29" s="67" t="str">
        <x:v>RFL2</x:v>
      </x:c>
      <x:c r="B29" s="68" t="str">
        <x:v>RFL 2-day Full Body</x:v>
      </x:c>
      <x:c r="C29" s="68" t="str">
        <x:v>RFL / PSMF</x:v>
      </x:c>
      <x:c r="D29" s="68" t="str">
        <x:v>Two-day low-volume full-body plan for RFL blocks; preserve strength rather than chase fatigue.</x:v>
      </x:c>
      <x:c r="E29" s="68" t="str">
        <x:v>rfl-full-body-a</x:v>
      </x:c>
      <x:c r="F29" s="68" t="str">
        <x:v>RFL Full Body A</x:v>
      </x:c>
      <x:c r="G29" s="68" t="str">
        <x:v>Monday</x:v>
      </x:c>
      <x:c r="H29" s="68" t="n">
        <x:v>1</x:v>
      </x:c>
      <x:c r="I29" s="68" t="str"/>
      <x:c r="J29" s="68" t="str">
        <x:v>rfl2-rfl-full-body-a-1</x:v>
      </x:c>
      <x:c r="K29" s="68" t="str">
        <x:v>EX001</x:v>
      </x:c>
      <x:c r="L29" s="68" t="str">
        <x:v>High-bar back squat</x:v>
      </x:c>
      <x:c r="M29" s="68" t="n">
        <x:v>1</x:v>
      </x:c>
      <x:c r="N29" s="68" t="n">
        <x:v>2</x:v>
      </x:c>
      <x:c r="O29" s="68" t="str">
        <x:v>5-8</x:v>
      </x:c>
      <x:c r="P29" s="68" t="str">
        <x:v>2-3</x:v>
      </x:c>
      <x:c r="Q29" s="68" t="n">
        <x:v>90</x:v>
      </x:c>
      <x:c r="R29" s="68" t="str">
        <x:v>Preserve strength; no grinders.</x:v>
      </x:c>
      <x:c r="S29" s="70" t="b">
        <x:v>1</x:v>
      </x:c>
      <x:c r="T29" s="83" t="n">
        <x:v>46222.416666666664</x:v>
      </x:c>
    </x:row>
    <x:row r="30">
      <x:c r="A30" s="67" t="str">
        <x:v>RFL2</x:v>
      </x:c>
      <x:c r="B30" s="68" t="str">
        <x:v>RFL 2-day Full Body</x:v>
      </x:c>
      <x:c r="C30" s="68" t="str">
        <x:v>RFL / PSMF</x:v>
      </x:c>
      <x:c r="D30" s="68" t="str">
        <x:v>Two-day low-volume full-body plan for RFL blocks; preserve strength rather than chase fatigue.</x:v>
      </x:c>
      <x:c r="E30" s="68" t="str">
        <x:v>rfl-full-body-a</x:v>
      </x:c>
      <x:c r="F30" s="68" t="str">
        <x:v>RFL Full Body A</x:v>
      </x:c>
      <x:c r="G30" s="68" t="str">
        <x:v>Monday</x:v>
      </x:c>
      <x:c r="H30" s="68" t="n">
        <x:v>1</x:v>
      </x:c>
      <x:c r="I30" s="68" t="str"/>
      <x:c r="J30" s="68" t="str">
        <x:v>rfl2-rfl-full-body-a-2</x:v>
      </x:c>
      <x:c r="K30" s="68" t="str">
        <x:v>EX014</x:v>
      </x:c>
      <x:c r="L30" s="68" t="str">
        <x:v>Barbell bench press</x:v>
      </x:c>
      <x:c r="M30" s="68" t="n">
        <x:v>2</x:v>
      </x:c>
      <x:c r="N30" s="68" t="n">
        <x:v>2</x:v>
      </x:c>
      <x:c r="O30" s="68" t="str">
        <x:v>5-8</x:v>
      </x:c>
      <x:c r="P30" s="68" t="str">
        <x:v>2-3</x:v>
      </x:c>
      <x:c r="Q30" s="68" t="n">
        <x:v>90</x:v>
      </x:c>
      <x:c r="R30" s="68" t="str"/>
      <x:c r="S30" s="70" t="b">
        <x:v>1</x:v>
      </x:c>
      <x:c r="T30" s="83" t="n">
        <x:v>46222.416666666664</x:v>
      </x:c>
    </x:row>
    <x:row r="31">
      <x:c r="A31" s="67" t="str">
        <x:v>RFL2</x:v>
      </x:c>
      <x:c r="B31" s="68" t="str">
        <x:v>RFL 2-day Full Body</x:v>
      </x:c>
      <x:c r="C31" s="68" t="str">
        <x:v>RFL / PSMF</x:v>
      </x:c>
      <x:c r="D31" s="68" t="str">
        <x:v>Two-day low-volume full-body plan for RFL blocks; preserve strength rather than chase fatigue.</x:v>
      </x:c>
      <x:c r="E31" s="68" t="str">
        <x:v>rfl-full-body-a</x:v>
      </x:c>
      <x:c r="F31" s="68" t="str">
        <x:v>RFL Full Body A</x:v>
      </x:c>
      <x:c r="G31" s="68" t="str">
        <x:v>Monday</x:v>
      </x:c>
      <x:c r="H31" s="68" t="n">
        <x:v>1</x:v>
      </x:c>
      <x:c r="I31" s="68" t="str"/>
      <x:c r="J31" s="68" t="str">
        <x:v>rfl2-rfl-full-body-a-3</x:v>
      </x:c>
      <x:c r="K31" s="68" t="str">
        <x:v>EX023</x:v>
      </x:c>
      <x:c r="L31" s="68" t="str">
        <x:v>Chest-supported dumbbell row</x:v>
      </x:c>
      <x:c r="M31" s="68" t="n">
        <x:v>3</x:v>
      </x:c>
      <x:c r="N31" s="68" t="n">
        <x:v>2</x:v>
      </x:c>
      <x:c r="O31" s="68" t="str">
        <x:v>6-10</x:v>
      </x:c>
      <x:c r="P31" s="68" t="str">
        <x:v>2-3</x:v>
      </x:c>
      <x:c r="Q31" s="68" t="n">
        <x:v>90</x:v>
      </x:c>
      <x:c r="R31" s="68" t="str"/>
      <x:c r="S31" s="70" t="b">
        <x:v>1</x:v>
      </x:c>
      <x:c r="T31" s="83" t="n">
        <x:v>46222.416666666664</x:v>
      </x:c>
    </x:row>
    <x:row r="32">
      <x:c r="A32" s="67" t="str">
        <x:v>RFL2</x:v>
      </x:c>
      <x:c r="B32" s="68" t="str">
        <x:v>RFL 2-day Full Body</x:v>
      </x:c>
      <x:c r="C32" s="68" t="str">
        <x:v>RFL / PSMF</x:v>
      </x:c>
      <x:c r="D32" s="68" t="str">
        <x:v>Two-day low-volume full-body plan for RFL blocks; preserve strength rather than chase fatigue.</x:v>
      </x:c>
      <x:c r="E32" s="68" t="str">
        <x:v>rfl-full-body-a</x:v>
      </x:c>
      <x:c r="F32" s="68" t="str">
        <x:v>RFL Full Body A</x:v>
      </x:c>
      <x:c r="G32" s="68" t="str">
        <x:v>Monday</x:v>
      </x:c>
      <x:c r="H32" s="68" t="n">
        <x:v>1</x:v>
      </x:c>
      <x:c r="I32" s="68" t="str"/>
      <x:c r="J32" s="68" t="str">
        <x:v>rfl2-rfl-full-body-a-4</x:v>
      </x:c>
      <x:c r="K32" s="68" t="str">
        <x:v>EX132</x:v>
      </x:c>
      <x:c r="L32" s="68" t="str">
        <x:v>Romanian deadlift or hip thrust</x:v>
      </x:c>
      <x:c r="M32" s="68" t="n">
        <x:v>4</x:v>
      </x:c>
      <x:c r="N32" s="68" t="n">
        <x:v>2</x:v>
      </x:c>
      <x:c r="O32" s="68" t="str">
        <x:v>6-10</x:v>
      </x:c>
      <x:c r="P32" s="68" t="str">
        <x:v>2-3</x:v>
      </x:c>
      <x:c r="Q32" s="68" t="n">
        <x:v>90</x:v>
      </x:c>
      <x:c r="R32" s="68" t="str"/>
      <x:c r="S32" s="70" t="b">
        <x:v>1</x:v>
      </x:c>
      <x:c r="T32" s="83" t="n">
        <x:v>46222.65625</x:v>
      </x:c>
    </x:row>
    <x:row r="33">
      <x:c r="A33" s="67" t="str">
        <x:v>RFL2</x:v>
      </x:c>
      <x:c r="B33" s="68" t="str">
        <x:v>RFL 2-day Full Body</x:v>
      </x:c>
      <x:c r="C33" s="68" t="str">
        <x:v>RFL / PSMF</x:v>
      </x:c>
      <x:c r="D33" s="68" t="str">
        <x:v>Two-day low-volume full-body plan for RFL blocks; preserve strength rather than chase fatigue.</x:v>
      </x:c>
      <x:c r="E33" s="68" t="str">
        <x:v>rfl-full-body-a</x:v>
      </x:c>
      <x:c r="F33" s="68" t="str">
        <x:v>RFL Full Body A</x:v>
      </x:c>
      <x:c r="G33" s="68" t="str">
        <x:v>Monday</x:v>
      </x:c>
      <x:c r="H33" s="68" t="n">
        <x:v>1</x:v>
      </x:c>
      <x:c r="I33" s="68" t="str"/>
      <x:c r="J33" s="68" t="str">
        <x:v>rfl2-rfl-full-body-a-5</x:v>
      </x:c>
      <x:c r="K33" s="68" t="str">
        <x:v>EX033</x:v>
      </x:c>
      <x:c r="L33" s="68" t="str">
        <x:v>Cable lateral raise</x:v>
      </x:c>
      <x:c r="M33" s="68" t="n">
        <x:v>5</x:v>
      </x:c>
      <x:c r="N33" s="68" t="n">
        <x:v>1</x:v>
      </x:c>
      <x:c r="O33" s="68" t="str">
        <x:v>12-20</x:v>
      </x:c>
      <x:c r="P33" s="68" t="str">
        <x:v>2-3</x:v>
      </x:c>
      <x:c r="Q33" s="68" t="n">
        <x:v>90</x:v>
      </x:c>
      <x:c r="R33" s="68" t="str"/>
      <x:c r="S33" s="70" t="b">
        <x:v>1</x:v>
      </x:c>
      <x:c r="T33" s="83" t="n">
        <x:v>46222.416666666664</x:v>
      </x:c>
    </x:row>
    <x:row r="34">
      <x:c r="A34" s="67" t="str">
        <x:v>RFL2</x:v>
      </x:c>
      <x:c r="B34" s="68" t="str">
        <x:v>RFL 2-day Full Body</x:v>
      </x:c>
      <x:c r="C34" s="68" t="str">
        <x:v>RFL / PSMF</x:v>
      </x:c>
      <x:c r="D34" s="68" t="str">
        <x:v>Two-day low-volume full-body plan for RFL blocks; preserve strength rather than chase fatigue.</x:v>
      </x:c>
      <x:c r="E34" s="68" t="str">
        <x:v>rfl-full-body-a</x:v>
      </x:c>
      <x:c r="F34" s="68" t="str">
        <x:v>RFL Full Body A</x:v>
      </x:c>
      <x:c r="G34" s="68" t="str">
        <x:v>Monday</x:v>
      </x:c>
      <x:c r="H34" s="68" t="n">
        <x:v>1</x:v>
      </x:c>
      <x:c r="I34" s="68" t="str"/>
      <x:c r="J34" s="68" t="str">
        <x:v>rfl2-rfl-full-body-a-6</x:v>
      </x:c>
      <x:c r="K34" s="68" t="str">
        <x:v>EX041</x:v>
      </x:c>
      <x:c r="L34" s="68" t="str">
        <x:v>Cable curl</x:v>
      </x:c>
      <x:c r="M34" s="68" t="n">
        <x:v>6</x:v>
      </x:c>
      <x:c r="N34" s="68" t="n">
        <x:v>1</x:v>
      </x:c>
      <x:c r="O34" s="68" t="str">
        <x:v>10-15</x:v>
      </x:c>
      <x:c r="P34" s="68" t="str">
        <x:v>2-3</x:v>
      </x:c>
      <x:c r="Q34" s="68" t="n">
        <x:v>90</x:v>
      </x:c>
      <x:c r="R34" s="68" t="str"/>
      <x:c r="S34" s="70" t="b">
        <x:v>1</x:v>
      </x:c>
      <x:c r="T34" s="83" t="n">
        <x:v>46222.416666666664</x:v>
      </x:c>
    </x:row>
    <x:row r="35">
      <x:c r="A35" s="67" t="str">
        <x:v>RFL2</x:v>
      </x:c>
      <x:c r="B35" s="68" t="str">
        <x:v>RFL 2-day Full Body</x:v>
      </x:c>
      <x:c r="C35" s="68" t="str">
        <x:v>RFL / PSMF</x:v>
      </x:c>
      <x:c r="D35" s="68" t="str">
        <x:v>Two-day low-volume full-body plan for RFL blocks; preserve strength rather than chase fatigue.</x:v>
      </x:c>
      <x:c r="E35" s="68" t="str">
        <x:v>rfl-full-body-a</x:v>
      </x:c>
      <x:c r="F35" s="68" t="str">
        <x:v>RFL Full Body A</x:v>
      </x:c>
      <x:c r="G35" s="68" t="str">
        <x:v>Monday</x:v>
      </x:c>
      <x:c r="H35" s="68" t="n">
        <x:v>1</x:v>
      </x:c>
      <x:c r="I35" s="68" t="str"/>
      <x:c r="J35" s="68" t="str">
        <x:v>rfl2-rfl-full-body-a-7</x:v>
      </x:c>
      <x:c r="K35" s="68" t="str">
        <x:v>EX038</x:v>
      </x:c>
      <x:c r="L35" s="68" t="str">
        <x:v>Cable triceps pushdown</x:v>
      </x:c>
      <x:c r="M35" s="68" t="n">
        <x:v>7</x:v>
      </x:c>
      <x:c r="N35" s="68" t="n">
        <x:v>1</x:v>
      </x:c>
      <x:c r="O35" s="68" t="str">
        <x:v>10-15</x:v>
      </x:c>
      <x:c r="P35" s="68" t="str">
        <x:v>2-3</x:v>
      </x:c>
      <x:c r="Q35" s="68" t="n">
        <x:v>90</x:v>
      </x:c>
      <x:c r="R35" s="68" t="str"/>
      <x:c r="S35" s="70" t="b">
        <x:v>1</x:v>
      </x:c>
      <x:c r="T35" s="83" t="n">
        <x:v>46222.416666666664</x:v>
      </x:c>
    </x:row>
    <x:row r="36">
      <x:c r="A36" s="67" t="str">
        <x:v>RFL2</x:v>
      </x:c>
      <x:c r="B36" s="68" t="str">
        <x:v>RFL 2-day Full Body</x:v>
      </x:c>
      <x:c r="C36" s="68" t="str">
        <x:v>RFL / PSMF</x:v>
      </x:c>
      <x:c r="D36" s="68" t="str">
        <x:v>Two-day low-volume full-body plan for RFL blocks; preserve strength rather than chase fatigue.</x:v>
      </x:c>
      <x:c r="E36" s="68" t="str">
        <x:v>rfl-full-body-b</x:v>
      </x:c>
      <x:c r="F36" s="68" t="str">
        <x:v>RFL Full Body B</x:v>
      </x:c>
      <x:c r="G36" s="68" t="str">
        <x:v>Thursday</x:v>
      </x:c>
      <x:c r="H36" s="68" t="n">
        <x:v>2</x:v>
      </x:c>
      <x:c r="I36" s="68" t="str"/>
      <x:c r="J36" s="68" t="str">
        <x:v>rfl2-rfl-full-body-b-1</x:v>
      </x:c>
      <x:c r="K36" s="68" t="str">
        <x:v>EX133</x:v>
      </x:c>
      <x:c r="L36" s="68" t="str">
        <x:v>Front squat or Bulgarian split squat</x:v>
      </x:c>
      <x:c r="M36" s="68" t="n">
        <x:v>1</x:v>
      </x:c>
      <x:c r="N36" s="68" t="n">
        <x:v>2</x:v>
      </x:c>
      <x:c r="O36" s="68" t="str">
        <x:v>6-10</x:v>
      </x:c>
      <x:c r="P36" s="68" t="str">
        <x:v>2-3</x:v>
      </x:c>
      <x:c r="Q36" s="68" t="n">
        <x:v>90</x:v>
      </x:c>
      <x:c r="R36" s="68" t="str"/>
      <x:c r="S36" s="70" t="b">
        <x:v>1</x:v>
      </x:c>
      <x:c r="T36" s="83" t="n">
        <x:v>46222.65625</x:v>
      </x:c>
    </x:row>
    <x:row r="37">
      <x:c r="A37" s="67" t="str">
        <x:v>RFL2</x:v>
      </x:c>
      <x:c r="B37" s="68" t="str">
        <x:v>RFL 2-day Full Body</x:v>
      </x:c>
      <x:c r="C37" s="68" t="str">
        <x:v>RFL / PSMF</x:v>
      </x:c>
      <x:c r="D37" s="68" t="str">
        <x:v>Two-day low-volume full-body plan for RFL blocks; preserve strength rather than chase fatigue.</x:v>
      </x:c>
      <x:c r="E37" s="68" t="str">
        <x:v>rfl-full-body-b</x:v>
      </x:c>
      <x:c r="F37" s="68" t="str">
        <x:v>RFL Full Body B</x:v>
      </x:c>
      <x:c r="G37" s="68" t="str">
        <x:v>Thursday</x:v>
      </x:c>
      <x:c r="H37" s="68" t="n">
        <x:v>2</x:v>
      </x:c>
      <x:c r="I37" s="68" t="str"/>
      <x:c r="J37" s="68" t="str">
        <x:v>rfl2-rfl-full-body-b-2</x:v>
      </x:c>
      <x:c r="K37" s="68" t="str">
        <x:v>EX022</x:v>
      </x:c>
      <x:c r="L37" s="68" t="str">
        <x:v>Incline dumbbell or seated dumbbell press</x:v>
      </x:c>
      <x:c r="M37" s="68" t="n">
        <x:v>2</x:v>
      </x:c>
      <x:c r="N37" s="68" t="n">
        <x:v>2</x:v>
      </x:c>
      <x:c r="O37" s="68" t="str">
        <x:v>6-10</x:v>
      </x:c>
      <x:c r="P37" s="68" t="str">
        <x:v>2-3</x:v>
      </x:c>
      <x:c r="Q37" s="68" t="n">
        <x:v>90</x:v>
      </x:c>
      <x:c r="R37" s="68" t="str"/>
      <x:c r="S37" s="70" t="b">
        <x:v>1</x:v>
      </x:c>
      <x:c r="T37" s="83" t="n">
        <x:v>46222.416666666664</x:v>
      </x:c>
    </x:row>
    <x:row r="38">
      <x:c r="A38" s="67" t="str">
        <x:v>RFL2</x:v>
      </x:c>
      <x:c r="B38" s="68" t="str">
        <x:v>RFL 2-day Full Body</x:v>
      </x:c>
      <x:c r="C38" s="68" t="str">
        <x:v>RFL / PSMF</x:v>
      </x:c>
      <x:c r="D38" s="68" t="str">
        <x:v>Two-day low-volume full-body plan for RFL blocks; preserve strength rather than chase fatigue.</x:v>
      </x:c>
      <x:c r="E38" s="68" t="str">
        <x:v>rfl-full-body-b</x:v>
      </x:c>
      <x:c r="F38" s="68" t="str">
        <x:v>RFL Full Body B</x:v>
      </x:c>
      <x:c r="G38" s="68" t="str">
        <x:v>Thursday</x:v>
      </x:c>
      <x:c r="H38" s="68" t="n">
        <x:v>2</x:v>
      </x:c>
      <x:c r="I38" s="68" t="str"/>
      <x:c r="J38" s="68" t="str">
        <x:v>rfl2-rfl-full-body-b-3</x:v>
      </x:c>
      <x:c r="K38" s="68" t="str">
        <x:v>EX134</x:v>
      </x:c>
      <x:c r="L38" s="68" t="str">
        <x:v>Pulldown or chin-up</x:v>
      </x:c>
      <x:c r="M38" s="68" t="n">
        <x:v>3</x:v>
      </x:c>
      <x:c r="N38" s="68" t="n">
        <x:v>2</x:v>
      </x:c>
      <x:c r="O38" s="68" t="str">
        <x:v>6-10</x:v>
      </x:c>
      <x:c r="P38" s="68" t="str">
        <x:v>2-3</x:v>
      </x:c>
      <x:c r="Q38" s="68" t="n">
        <x:v>90</x:v>
      </x:c>
      <x:c r="R38" s="68" t="str"/>
      <x:c r="S38" s="70" t="b">
        <x:v>1</x:v>
      </x:c>
      <x:c r="T38" s="83" t="n">
        <x:v>46222.65625</x:v>
      </x:c>
    </x:row>
    <x:row r="39">
      <x:c r="A39" s="67" t="str">
        <x:v>RFL2</x:v>
      </x:c>
      <x:c r="B39" s="68" t="str">
        <x:v>RFL 2-day Full Body</x:v>
      </x:c>
      <x:c r="C39" s="68" t="str">
        <x:v>RFL / PSMF</x:v>
      </x:c>
      <x:c r="D39" s="68" t="str">
        <x:v>Two-day low-volume full-body plan for RFL blocks; preserve strength rather than chase fatigue.</x:v>
      </x:c>
      <x:c r="E39" s="68" t="str">
        <x:v>rfl-full-body-b</x:v>
      </x:c>
      <x:c r="F39" s="68" t="str">
        <x:v>RFL Full Body B</x:v>
      </x:c>
      <x:c r="G39" s="68" t="str">
        <x:v>Thursday</x:v>
      </x:c>
      <x:c r="H39" s="68" t="n">
        <x:v>2</x:v>
      </x:c>
      <x:c r="I39" s="68" t="str"/>
      <x:c r="J39" s="68" t="str">
        <x:v>rfl2-rfl-full-body-b-4</x:v>
      </x:c>
      <x:c r="K39" s="68" t="str">
        <x:v>EX135</x:v>
      </x:c>
      <x:c r="L39" s="68" t="str">
        <x:v>Hip thrust or cable leg curl</x:v>
      </x:c>
      <x:c r="M39" s="68" t="n">
        <x:v>4</x:v>
      </x:c>
      <x:c r="N39" s="68" t="n">
        <x:v>2</x:v>
      </x:c>
      <x:c r="O39" s="68" t="str">
        <x:v>8-12</x:v>
      </x:c>
      <x:c r="P39" s="68" t="str">
        <x:v>2-3</x:v>
      </x:c>
      <x:c r="Q39" s="68" t="n">
        <x:v>90</x:v>
      </x:c>
      <x:c r="R39" s="68" t="str"/>
      <x:c r="S39" s="70" t="b">
        <x:v>1</x:v>
      </x:c>
      <x:c r="T39" s="83" t="n">
        <x:v>46222.65625</x:v>
      </x:c>
    </x:row>
    <x:row r="40">
      <x:c r="A40" s="67" t="str">
        <x:v>RFL2</x:v>
      </x:c>
      <x:c r="B40" s="68" t="str">
        <x:v>RFL 2-day Full Body</x:v>
      </x:c>
      <x:c r="C40" s="68" t="str">
        <x:v>RFL / PSMF</x:v>
      </x:c>
      <x:c r="D40" s="68" t="str">
        <x:v>Two-day low-volume full-body plan for RFL blocks; preserve strength rather than chase fatigue.</x:v>
      </x:c>
      <x:c r="E40" s="68" t="str">
        <x:v>rfl-full-body-b</x:v>
      </x:c>
      <x:c r="F40" s="68" t="str">
        <x:v>RFL Full Body B</x:v>
      </x:c>
      <x:c r="G40" s="68" t="str">
        <x:v>Thursday</x:v>
      </x:c>
      <x:c r="H40" s="68" t="n">
        <x:v>2</x:v>
      </x:c>
      <x:c r="I40" s="68" t="str"/>
      <x:c r="J40" s="68" t="str">
        <x:v>rfl2-rfl-full-body-b-5</x:v>
      </x:c>
      <x:c r="K40" s="68" t="str">
        <x:v>EX037</x:v>
      </x:c>
      <x:c r="L40" s="68" t="str">
        <x:v>Rear-delt cable fly</x:v>
      </x:c>
      <x:c r="M40" s="68" t="n">
        <x:v>5</x:v>
      </x:c>
      <x:c r="N40" s="68" t="n">
        <x:v>1</x:v>
      </x:c>
      <x:c r="O40" s="68" t="str">
        <x:v>12-20</x:v>
      </x:c>
      <x:c r="P40" s="68" t="str">
        <x:v>2-3</x:v>
      </x:c>
      <x:c r="Q40" s="68" t="n">
        <x:v>90</x:v>
      </x:c>
      <x:c r="R40" s="68" t="str"/>
      <x:c r="S40" s="70" t="b">
        <x:v>1</x:v>
      </x:c>
      <x:c r="T40" s="83" t="n">
        <x:v>46222.416666666664</x:v>
      </x:c>
    </x:row>
    <x:row r="41">
      <x:c r="A41" s="67" t="str">
        <x:v>RFL2</x:v>
      </x:c>
      <x:c r="B41" s="68" t="str">
        <x:v>RFL 2-day Full Body</x:v>
      </x:c>
      <x:c r="C41" s="68" t="str">
        <x:v>RFL / PSMF</x:v>
      </x:c>
      <x:c r="D41" s="68" t="str">
        <x:v>Two-day low-volume full-body plan for RFL blocks; preserve strength rather than chase fatigue.</x:v>
      </x:c>
      <x:c r="E41" s="68" t="str">
        <x:v>rfl-full-body-b</x:v>
      </x:c>
      <x:c r="F41" s="68" t="str">
        <x:v>RFL Full Body B</x:v>
      </x:c>
      <x:c r="G41" s="68" t="str">
        <x:v>Thursday</x:v>
      </x:c>
      <x:c r="H41" s="68" t="n">
        <x:v>2</x:v>
      </x:c>
      <x:c r="I41" s="68" t="str"/>
      <x:c r="J41" s="68" t="str">
        <x:v>rfl2-rfl-full-body-b-6</x:v>
      </x:c>
      <x:c r="K41" s="68" t="str">
        <x:v>EX136</x:v>
      </x:c>
      <x:c r="L41" s="68" t="str">
        <x:v>Hammer curl</x:v>
      </x:c>
      <x:c r="M41" s="68" t="n">
        <x:v>6</x:v>
      </x:c>
      <x:c r="N41" s="68" t="n">
        <x:v>1</x:v>
      </x:c>
      <x:c r="O41" s="68" t="str">
        <x:v>10-15</x:v>
      </x:c>
      <x:c r="P41" s="68" t="str">
        <x:v>2-3</x:v>
      </x:c>
      <x:c r="Q41" s="68" t="n">
        <x:v>90</x:v>
      </x:c>
      <x:c r="R41" s="68" t="str"/>
      <x:c r="S41" s="70" t="b">
        <x:v>1</x:v>
      </x:c>
      <x:c r="T41" s="83" t="n">
        <x:v>46222.65625</x:v>
      </x:c>
    </x:row>
    <x:row r="42">
      <x:c r="A42" s="67" t="str">
        <x:v>RFL2</x:v>
      </x:c>
      <x:c r="B42" s="68" t="str">
        <x:v>RFL 2-day Full Body</x:v>
      </x:c>
      <x:c r="C42" s="68" t="str">
        <x:v>RFL / PSMF</x:v>
      </x:c>
      <x:c r="D42" s="68" t="str">
        <x:v>Two-day low-volume full-body plan for RFL blocks; preserve strength rather than chase fatigue.</x:v>
      </x:c>
      <x:c r="E42" s="68" t="str">
        <x:v>rfl-full-body-b</x:v>
      </x:c>
      <x:c r="F42" s="68" t="str">
        <x:v>RFL Full Body B</x:v>
      </x:c>
      <x:c r="G42" s="68" t="str">
        <x:v>Thursday</x:v>
      </x:c>
      <x:c r="H42" s="68" t="n">
        <x:v>2</x:v>
      </x:c>
      <x:c r="I42" s="68" t="str"/>
      <x:c r="J42" s="68" t="str">
        <x:v>rfl2-rfl-full-body-b-7</x:v>
      </x:c>
      <x:c r="K42" s="68" t="str">
        <x:v>EX137</x:v>
      </x:c>
      <x:c r="L42" s="68" t="str">
        <x:v>Overhead triceps extension</x:v>
      </x:c>
      <x:c r="M42" s="68" t="n">
        <x:v>7</x:v>
      </x:c>
      <x:c r="N42" s="68" t="n">
        <x:v>1</x:v>
      </x:c>
      <x:c r="O42" s="68" t="str">
        <x:v>10-15</x:v>
      </x:c>
      <x:c r="P42" s="68" t="str">
        <x:v>2-3</x:v>
      </x:c>
      <x:c r="Q42" s="68" t="n">
        <x:v>90</x:v>
      </x:c>
      <x:c r="R42" s="68" t="str"/>
      <x:c r="S42" s="70" t="b">
        <x:v>1</x:v>
      </x:c>
      <x:c r="T42" s="83" t="n">
        <x:v>46222.65625</x:v>
      </x:c>
    </x:row>
    <x:row r="43">
      <x:c r="A43" s="67" t="str">
        <x:v>GVS_EXTRA</x:v>
      </x:c>
      <x:c r="B43" s="68" t="str">
        <x:v>Optional GVS-style Delts/Arms</x:v>
      </x:c>
      <x:c r="C43" s="68" t="str">
        <x:v>Optional only outside RFL</x:v>
      </x:c>
      <x:c r="D43" s="68" t="str">
        <x:v>Optional short delt/arm/calves session only when recovered and outside RFL.</x:v>
      </x:c>
      <x:c r="E43" s="68" t="str">
        <x:v>delts-arms</x:v>
      </x:c>
      <x:c r="F43" s="68" t="str">
        <x:v>Delts/Arms</x:v>
      </x:c>
      <x:c r="G43" s="68" t="str">
        <x:v>Saturday</x:v>
      </x:c>
      <x:c r="H43" s="68" t="n">
        <x:v>1</x:v>
      </x:c>
      <x:c r="I43" s="68" t="str"/>
      <x:c r="J43" s="68" t="str">
        <x:v>gvs_extra-delts-arms-1</x:v>
      </x:c>
      <x:c r="K43" s="68" t="str">
        <x:v>EX033</x:v>
      </x:c>
      <x:c r="L43" s="68" t="str">
        <x:v>Cable lateral raise</x:v>
      </x:c>
      <x:c r="M43" s="68" t="n">
        <x:v>1</x:v>
      </x:c>
      <x:c r="N43" s="68" t="n">
        <x:v>3</x:v>
      </x:c>
      <x:c r="O43" s="68" t="str">
        <x:v>15-25</x:v>
      </x:c>
      <x:c r="P43" s="68" t="str">
        <x:v>0-1 on final safe set</x:v>
      </x:c>
      <x:c r="Q43" s="68" t="n">
        <x:v>90</x:v>
      </x:c>
      <x:c r="R43" s="68" t="str">
        <x:v>Only if recovered; skip during RFL.</x:v>
      </x:c>
      <x:c r="S43" s="70" t="b">
        <x:v>1</x:v>
      </x:c>
      <x:c r="T43" s="83" t="n">
        <x:v>46222.416666666664</x:v>
      </x:c>
    </x:row>
    <x:row r="44">
      <x:c r="A44" s="67" t="str">
        <x:v>GVS_EXTRA</x:v>
      </x:c>
      <x:c r="B44" s="68" t="str">
        <x:v>Optional GVS-style Delts/Arms</x:v>
      </x:c>
      <x:c r="C44" s="68" t="str">
        <x:v>Optional only outside RFL</x:v>
      </x:c>
      <x:c r="D44" s="68" t="str">
        <x:v>Optional short delt/arm/calves session only when recovered and outside RFL.</x:v>
      </x:c>
      <x:c r="E44" s="68" t="str">
        <x:v>delts-arms</x:v>
      </x:c>
      <x:c r="F44" s="68" t="str">
        <x:v>Delts/Arms</x:v>
      </x:c>
      <x:c r="G44" s="68" t="str">
        <x:v>Saturday</x:v>
      </x:c>
      <x:c r="H44" s="68" t="n">
        <x:v>1</x:v>
      </x:c>
      <x:c r="I44" s="68" t="str"/>
      <x:c r="J44" s="68" t="str">
        <x:v>gvs_extra-delts-arms-2</x:v>
      </x:c>
      <x:c r="K44" s="68" t="str">
        <x:v>EX035</x:v>
      </x:c>
      <x:c r="L44" s="68" t="str">
        <x:v>Cable rear-delt fly</x:v>
      </x:c>
      <x:c r="M44" s="68" t="n">
        <x:v>2</x:v>
      </x:c>
      <x:c r="N44" s="68" t="n">
        <x:v>3</x:v>
      </x:c>
      <x:c r="O44" s="68" t="str">
        <x:v>15-25</x:v>
      </x:c>
      <x:c r="P44" s="68" t="str">
        <x:v>0-1 on final safe set</x:v>
      </x:c>
      <x:c r="Q44" s="68" t="n">
        <x:v>90</x:v>
      </x:c>
      <x:c r="R44" s="68" t="str"/>
      <x:c r="S44" s="70" t="b">
        <x:v>1</x:v>
      </x:c>
      <x:c r="T44" s="83" t="n">
        <x:v>46222.416666666664</x:v>
      </x:c>
    </x:row>
    <x:row r="45">
      <x:c r="A45" s="67" t="str">
        <x:v>GVS_EXTRA</x:v>
      </x:c>
      <x:c r="B45" s="68" t="str">
        <x:v>Optional GVS-style Delts/Arms</x:v>
      </x:c>
      <x:c r="C45" s="68" t="str">
        <x:v>Optional only outside RFL</x:v>
      </x:c>
      <x:c r="D45" s="68" t="str">
        <x:v>Optional short delt/arm/calves session only when recovered and outside RFL.</x:v>
      </x:c>
      <x:c r="E45" s="68" t="str">
        <x:v>delts-arms</x:v>
      </x:c>
      <x:c r="F45" s="68" t="str">
        <x:v>Delts/Arms</x:v>
      </x:c>
      <x:c r="G45" s="68" t="str">
        <x:v>Saturday</x:v>
      </x:c>
      <x:c r="H45" s="68" t="n">
        <x:v>1</x:v>
      </x:c>
      <x:c r="I45" s="68" t="str"/>
      <x:c r="J45" s="68" t="str">
        <x:v>gvs_extra-delts-arms-3</x:v>
      </x:c>
      <x:c r="K45" s="68" t="str">
        <x:v>EX045</x:v>
      </x:c>
      <x:c r="L45" s="68" t="str">
        <x:v>Cable or ring curl</x:v>
      </x:c>
      <x:c r="M45" s="68" t="n">
        <x:v>3</x:v>
      </x:c>
      <x:c r="N45" s="68" t="n">
        <x:v>2</x:v>
      </x:c>
      <x:c r="O45" s="68" t="str">
        <x:v>10-15</x:v>
      </x:c>
      <x:c r="P45" s="68" t="str">
        <x:v>1</x:v>
      </x:c>
      <x:c r="Q45" s="68" t="n">
        <x:v>90</x:v>
      </x:c>
      <x:c r="R45" s="68" t="str"/>
      <x:c r="S45" s="70" t="b">
        <x:v>1</x:v>
      </x:c>
      <x:c r="T45" s="83" t="n">
        <x:v>46222.416666666664</x:v>
      </x:c>
    </x:row>
    <x:row r="46">
      <x:c r="A46" s="67" t="str">
        <x:v>GVS_EXTRA</x:v>
      </x:c>
      <x:c r="B46" s="68" t="str">
        <x:v>Optional GVS-style Delts/Arms</x:v>
      </x:c>
      <x:c r="C46" s="68" t="str">
        <x:v>Optional only outside RFL</x:v>
      </x:c>
      <x:c r="D46" s="68" t="str">
        <x:v>Optional short delt/arm/calves session only when recovered and outside RFL.</x:v>
      </x:c>
      <x:c r="E46" s="68" t="str">
        <x:v>delts-arms</x:v>
      </x:c>
      <x:c r="F46" s="68" t="str">
        <x:v>Delts/Arms</x:v>
      </x:c>
      <x:c r="G46" s="68" t="str">
        <x:v>Saturday</x:v>
      </x:c>
      <x:c r="H46" s="68" t="n">
        <x:v>1</x:v>
      </x:c>
      <x:c r="I46" s="68" t="str"/>
      <x:c r="J46" s="68" t="str">
        <x:v>gvs_extra-delts-arms-4</x:v>
      </x:c>
      <x:c r="K46" s="68" t="str">
        <x:v>EX039</x:v>
      </x:c>
      <x:c r="L46" s="68" t="str">
        <x:v>Overhead cable triceps extension</x:v>
      </x:c>
      <x:c r="M46" s="68" t="n">
        <x:v>4</x:v>
      </x:c>
      <x:c r="N46" s="68" t="n">
        <x:v>2</x:v>
      </x:c>
      <x:c r="O46" s="68" t="str">
        <x:v>10-15</x:v>
      </x:c>
      <x:c r="P46" s="68" t="str">
        <x:v>1</x:v>
      </x:c>
      <x:c r="Q46" s="68" t="n">
        <x:v>90</x:v>
      </x:c>
      <x:c r="R46" s="68" t="str"/>
      <x:c r="S46" s="70" t="b">
        <x:v>1</x:v>
      </x:c>
      <x:c r="T46" s="83" t="n">
        <x:v>46222.416666666664</x:v>
      </x:c>
    </x:row>
    <x:row r="47">
      <x:c r="A47" s="77" t="str">
        <x:v>GVS_EXTRA</x:v>
      </x:c>
      <x:c r="B47" s="78" t="str">
        <x:v>Optional GVS-style Delts/Arms</x:v>
      </x:c>
      <x:c r="C47" s="78" t="str">
        <x:v>Optional only outside RFL</x:v>
      </x:c>
      <x:c r="D47" s="78" t="str">
        <x:v>Optional short delt/arm/calves session only when recovered and outside RFL.</x:v>
      </x:c>
      <x:c r="E47" s="78" t="str">
        <x:v>delts-arms</x:v>
      </x:c>
      <x:c r="F47" s="78" t="str">
        <x:v>Delts/Arms</x:v>
      </x:c>
      <x:c r="G47" s="78" t="str">
        <x:v>Saturday</x:v>
      </x:c>
      <x:c r="H47" s="78" t="n">
        <x:v>1</x:v>
      </x:c>
      <x:c r="I47" s="78" t="str"/>
      <x:c r="J47" s="78" t="str">
        <x:v>gvs_extra-delts-arms-5</x:v>
      </x:c>
      <x:c r="K47" s="78" t="str">
        <x:v>EX013</x:v>
      </x:c>
      <x:c r="L47" s="78" t="str">
        <x:v>Standing calf raise</x:v>
      </x:c>
      <x:c r="M47" s="78" t="n">
        <x:v>5</x:v>
      </x:c>
      <x:c r="N47" s="78" t="n">
        <x:v>3</x:v>
      </x:c>
      <x:c r="O47" s="78" t="str">
        <x:v>12-20</x:v>
      </x:c>
      <x:c r="P47" s="78" t="str">
        <x:v>1</x:v>
      </x:c>
      <x:c r="Q47" s="78" t="n">
        <x:v>90</x:v>
      </x:c>
      <x:c r="R47" s="78" t="str"/>
      <x:c r="S47" s="81" t="b">
        <x:v>1</x:v>
      </x:c>
      <x:c r="T47" s="84" t="n">
        <x:v>46222.416666666664</x:v>
      </x:c>
    </x:row>
  </x:sheetData>
  <x:dataValidations count="1">
    <x:dataValidation type="list" sqref="S2:S1000">
      <x:formula1>"TRUE,FALSE"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24" hidden="0" customWidth="1"/>
    <x:col min="4" max="4" width="22" hidden="0" customWidth="1"/>
    <x:col min="5" max="5" width="44" hidden="0" customWidth="1"/>
    <x:col min="6" max="6" width="58" hidden="0" customWidth="1"/>
    <x:col min="7" max="7" width="36" hidden="0" customWidth="1"/>
    <x:col min="8" max="8" width="20" hidden="0" customWidth="1"/>
    <x:col min="9" max="9" width="15" hidden="0" customWidth="1"/>
    <x:col min="10" max="10" width="50" hidden="0" customWidth="1"/>
    <x:col min="11" max="11" width="10" hidden="0" customWidth="1"/>
    <x:col min="17" max="17" width="24" hidden="0" customWidth="1"/>
    <x:col min="18" max="18" width="24" hidden="0" customWidth="1"/>
    <x:col min="12" max="12" width="10" hidden="0" customWidth="1"/>
    <x:col min="13" max="13" width="20" hidden="0" customWidth="1"/>
  </x:cols>
  <x:sheetData>
    <x:row r="1" ht="30" customHeight="1">
      <x:c r="A1" s="63" t="str">
        <x:v>ExerciseID</x:v>
      </x:c>
      <x:c r="B1" s="63" t="str">
        <x:v>Exercise</x:v>
      </x:c>
      <x:c r="C1" s="63" t="str">
        <x:v>MuscleGroup</x:v>
      </x:c>
      <x:c r="D1" s="63" t="str">
        <x:v>Pattern</x:v>
      </x:c>
      <x:c r="E1" s="63" t="str">
        <x:v>Equipment</x:v>
      </x:c>
      <x:c r="F1" s="63" t="str">
        <x:v>EquipmentOptionsJSON</x:v>
      </x:c>
      <x:c r="G1" s="63" t="str">
        <x:v>OptionalEquipmentJSON</x:v>
      </x:c>
      <x:c r="H1" s="63" t="str">
        <x:v>PrimaryFor</x:v>
      </x:c>
      <x:c r="I1" s="63" t="str">
        <x:v>Difficulty</x:v>
      </x:c>
      <x:c r="J1" s="63" t="str">
        <x:v>SubstitutionNotes</x:v>
      </x:c>
      <x:c r="K1" s="63" t="str">
        <x:v>RFL_OK</x:v>
      </x:c>
      <x:c r="L1" s="63" t="str">
        <x:v>Favourite</x:v>
      </x:c>
      <x:c r="M1" s="63" t="str">
        <x:v>UpdatedAt</x:v>
      </x:c>
    </x:row>
    <x:row r="2">
      <x:c r="A2" s="64" t="str">
        <x:v>EX001</x:v>
      </x:c>
      <x:c r="B2" s="65" t="str">
        <x:v>High-bar back squat</x:v>
      </x:c>
      <x:c r="C2" s="65" t="str">
        <x:v>Quads / Glutes</x:v>
      </x:c>
      <x:c r="D2" s="65" t="str">
        <x:v>Squat</x:v>
      </x:c>
      <x:c r="E2" s="65" t="str">
        <x:v>Power rack / squat stands + Barbell + plates</x:v>
      </x:c>
      <x:c r="F2" s="65" t="str">
        <x:v>[["Power rack / squat stands","Barbell + plates"]]</x:v>
      </x:c>
      <x:c r="G2" s="65" t="str">
        <x:v>[]</x:v>
      </x:c>
      <x:c r="H2" s="65" t="str">
        <x:v>Squat</x:v>
      </x:c>
      <x:c r="I2" s="65" t="str">
        <x:v>Main lift</x:v>
      </x:c>
      <x:c r="J2" s="65" t="str">
        <x:v>Use if bracing and depth remain controlled.</x:v>
      </x:c>
      <x:c r="K2" s="65" t="str">
        <x:v>Yes</x:v>
      </x:c>
      <x:c r="L2" s="80" t="b">
        <x:v>0</x:v>
      </x:c>
      <x:c r="M2" s="82" t="n">
        <x:v>46222.416666666664</x:v>
      </x:c>
    </x:row>
    <x:row r="3">
      <x:c r="A3" s="67" t="str">
        <x:v>EX002</x:v>
      </x:c>
      <x:c r="B3" s="68" t="str">
        <x:v>Front squat</x:v>
      </x:c>
      <x:c r="C3" s="68" t="str">
        <x:v>Quads / Core</x:v>
      </x:c>
      <x:c r="D3" s="68" t="str">
        <x:v>Squat</x:v>
      </x:c>
      <x:c r="E3" s="68" t="str">
        <x:v>Power rack / squat stands + Barbell + plates</x:v>
      </x:c>
      <x:c r="F3" s="68" t="str">
        <x:v>[["Power rack / squat stands","Barbell + plates"]]</x:v>
      </x:c>
      <x:c r="G3" s="68" t="str">
        <x:v>[]</x:v>
      </x:c>
      <x:c r="H3" s="68" t="str">
        <x:v>Squat</x:v>
      </x:c>
      <x:c r="I3" s="68" t="str">
        <x:v>Main lift</x:v>
      </x:c>
      <x:c r="J3" s="68" t="str">
        <x:v>Useful if it is more back-friendly than back squat.</x:v>
      </x:c>
      <x:c r="K3" s="68" t="str">
        <x:v>Yes</x:v>
      </x:c>
      <x:c r="L3" s="70" t="b">
        <x:v>0</x:v>
      </x:c>
      <x:c r="M3" s="83" t="n">
        <x:v>46222.416666666664</x:v>
      </x:c>
    </x:row>
    <x:row r="4">
      <x:c r="A4" s="67" t="str">
        <x:v>EX003</x:v>
      </x:c>
      <x:c r="B4" s="68" t="str">
        <x:v>Heels-elevated squat</x:v>
      </x:c>
      <x:c r="C4" s="68" t="str">
        <x:v>Quads</x:v>
      </x:c>
      <x:c r="D4" s="68" t="str">
        <x:v>Squat</x:v>
      </x:c>
      <x:c r="E4" s="68" t="str">
        <x:v>Power rack / squat stands + Barbell + plates OR Dumbbells</x:v>
      </x:c>
      <x:c r="F4" s="68" t="str">
        <x:v>[["Power rack / squat stands","Barbell + plates"],["Dumbbells"]]</x:v>
      </x:c>
      <x:c r="G4" s="68" t="str">
        <x:v>["Slant board / heel wedge"]</x:v>
      </x:c>
      <x:c r="H4" s="68" t="str">
        <x:v>Squat</x:v>
      </x:c>
      <x:c r="I4" s="68" t="str">
        <x:v>Main lift</x:v>
      </x:c>
      <x:c r="J4" s="68" t="str">
        <x:v>More quad bias; use a small wedge or plates under heels.</x:v>
      </x:c>
      <x:c r="K4" s="68" t="str">
        <x:v>Yes</x:v>
      </x:c>
      <x:c r="L4" s="70" t="b">
        <x:v>0</x:v>
      </x:c>
      <x:c r="M4" s="83" t="n">
        <x:v>46222.416666666664</x:v>
      </x:c>
    </x:row>
    <x:row r="5">
      <x:c r="A5" s="67" t="str">
        <x:v>EX004</x:v>
      </x:c>
      <x:c r="B5" s="68" t="str">
        <x:v>Box squat</x:v>
      </x:c>
      <x:c r="C5" s="68" t="str">
        <x:v>Quads / Glutes</x:v>
      </x:c>
      <x:c r="D5" s="68" t="str">
        <x:v>Squat</x:v>
      </x:c>
      <x:c r="E5" s="68" t="str">
        <x:v>Power rack / squat stands + Barbell + plates + Bench or box</x:v>
      </x:c>
      <x:c r="F5" s="68" t="str">
        <x:v>[["Power rack / squat stands","Barbell + plates","Bench or box"]]</x:v>
      </x:c>
      <x:c r="G5" s="68" t="str">
        <x:v>[]</x:v>
      </x:c>
      <x:c r="H5" s="68" t="str">
        <x:v>Squat</x:v>
      </x:c>
      <x:c r="I5" s="68" t="str">
        <x:v>Substitution</x:v>
      </x:c>
      <x:c r="J5" s="68" t="str">
        <x:v>Useful for controlled depth.</x:v>
      </x:c>
      <x:c r="K5" s="68" t="str">
        <x:v>Yes</x:v>
      </x:c>
      <x:c r="L5" s="70" t="b">
        <x:v>0</x:v>
      </x:c>
      <x:c r="M5" s="83" t="n">
        <x:v>46222.416666666664</x:v>
      </x:c>
    </x:row>
    <x:row r="6">
      <x:c r="A6" s="67" t="str">
        <x:v>EX005</x:v>
      </x:c>
      <x:c r="B6" s="68" t="str">
        <x:v>Goblet squat</x:v>
      </x:c>
      <x:c r="C6" s="68" t="str">
        <x:v>Quads / Glutes</x:v>
      </x:c>
      <x:c r="D6" s="68" t="str">
        <x:v>Squat</x:v>
      </x:c>
      <x:c r="E6" s="68" t="str">
        <x:v>Dumbbells OR Kettlebells</x:v>
      </x:c>
      <x:c r="F6" s="68" t="str">
        <x:v>[["Dumbbells"],["Kettlebells"]]</x:v>
      </x:c>
      <x:c r="G6" s="68" t="str">
        <x:v>["Slant board / heel wedge"]</x:v>
      </x:c>
      <x:c r="H6" s="68" t="str">
        <x:v>Squat</x:v>
      </x:c>
      <x:c r="I6" s="68" t="str">
        <x:v>Substitution</x:v>
      </x:c>
      <x:c r="J6" s="68" t="str">
        <x:v>Good warm-up or deload option.</x:v>
      </x:c>
      <x:c r="K6" s="68" t="str">
        <x:v>Yes</x:v>
      </x:c>
      <x:c r="L6" s="70" t="b">
        <x:v>0</x:v>
      </x:c>
      <x:c r="M6" s="83" t="n">
        <x:v>46222.416666666664</x:v>
      </x:c>
    </x:row>
    <x:row r="7">
      <x:c r="A7" s="67" t="str">
        <x:v>EX006</x:v>
      </x:c>
      <x:c r="B7" s="68" t="str">
        <x:v>Bulgarian split squat</x:v>
      </x:c>
      <x:c r="C7" s="68" t="str">
        <x:v>Quads / Glutes</x:v>
      </x:c>
      <x:c r="D7" s="68" t="str">
        <x:v>Single-leg</x:v>
      </x:c>
      <x:c r="E7" s="68" t="str">
        <x:v>Bench or box</x:v>
      </x:c>
      <x:c r="F7" s="68" t="str">
        <x:v>[["Bench or box"]]</x:v>
      </x:c>
      <x:c r="G7" s="68" t="str">
        <x:v>["Dumbbells"]</x:v>
      </x:c>
      <x:c r="H7" s="68" t="str">
        <x:v>Squat</x:v>
      </x:c>
      <x:c r="I7" s="68" t="str">
        <x:v>Accessory</x:v>
      </x:c>
      <x:c r="J7" s="68" t="str">
        <x:v>High stimulus with lower spinal loading.</x:v>
      </x:c>
      <x:c r="K7" s="68" t="str">
        <x:v>Yes</x:v>
      </x:c>
      <x:c r="L7" s="70" t="b">
        <x:v>0</x:v>
      </x:c>
      <x:c r="M7" s="83" t="n">
        <x:v>46222.416666666664</x:v>
      </x:c>
    </x:row>
    <x:row r="8">
      <x:c r="A8" s="67" t="str">
        <x:v>EX007</x:v>
      </x:c>
      <x:c r="B8" s="68" t="str">
        <x:v>Reverse lunge</x:v>
      </x:c>
      <x:c r="C8" s="68" t="str">
        <x:v>Quads / Glutes</x:v>
      </x:c>
      <x:c r="D8" s="68" t="str">
        <x:v>Single-leg</x:v>
      </x:c>
      <x:c r="E8" s="68" t="str">
        <x:v>Bodyweight / floor space</x:v>
      </x:c>
      <x:c r="F8" s="68" t="str">
        <x:v>[["Bodyweight / floor space"]]</x:v>
      </x:c>
      <x:c r="G8" s="68" t="str">
        <x:v>["Dumbbells"]</x:v>
      </x:c>
      <x:c r="H8" s="68" t="str">
        <x:v>Squat</x:v>
      </x:c>
      <x:c r="I8" s="68" t="str">
        <x:v>Accessory</x:v>
      </x:c>
      <x:c r="J8" s="68" t="str">
        <x:v>Usually knee-friendly if stride is controlled.</x:v>
      </x:c>
      <x:c r="K8" s="68" t="str">
        <x:v>Yes</x:v>
      </x:c>
      <x:c r="L8" s="70" t="b">
        <x:v>0</x:v>
      </x:c>
      <x:c r="M8" s="83" t="n">
        <x:v>46222.416666666664</x:v>
      </x:c>
    </x:row>
    <x:row r="9">
      <x:c r="A9" s="67" t="str">
        <x:v>EX008</x:v>
      </x:c>
      <x:c r="B9" s="68" t="str">
        <x:v>Romanian deadlift</x:v>
      </x:c>
      <x:c r="C9" s="68" t="str">
        <x:v>Hamstrings / Glutes</x:v>
      </x:c>
      <x:c r="D9" s="68" t="str">
        <x:v>Hip hinge</x:v>
      </x:c>
      <x:c r="E9" s="68" t="str">
        <x:v>Barbell + plates OR Dumbbells OR Kettlebells</x:v>
      </x:c>
      <x:c r="F9" s="68" t="str">
        <x:v>[["Barbell + plates"],["Dumbbells"],["Kettlebells"]]</x:v>
      </x:c>
      <x:c r="G9" s="68" t="str">
        <x:v>[]</x:v>
      </x:c>
      <x:c r="H9" s="68" t="str">
        <x:v>Hinge</x:v>
      </x:c>
      <x:c r="I9" s="68" t="str">
        <x:v>Main lift</x:v>
      </x:c>
      <x:c r="J9" s="68" t="str">
        <x:v>Only use if lower back is not the limiter.</x:v>
      </x:c>
      <x:c r="K9" s="68" t="str">
        <x:v>Yes</x:v>
      </x:c>
      <x:c r="L9" s="70" t="b">
        <x:v>0</x:v>
      </x:c>
      <x:c r="M9" s="83" t="n">
        <x:v>46222.416666666664</x:v>
      </x:c>
    </x:row>
    <x:row r="10">
      <x:c r="A10" s="67" t="str">
        <x:v>EX009</x:v>
      </x:c>
      <x:c r="B10" s="68" t="str">
        <x:v>Dumbbell Romanian deadlift</x:v>
      </x:c>
      <x:c r="C10" s="68" t="str">
        <x:v>Hamstrings / Glutes</x:v>
      </x:c>
      <x:c r="D10" s="68" t="str">
        <x:v>Hip hinge</x:v>
      </x:c>
      <x:c r="E10" s="68" t="str">
        <x:v>Dumbbells</x:v>
      </x:c>
      <x:c r="F10" s="68" t="str">
        <x:v>[["Dumbbells"]]</x:v>
      </x:c>
      <x:c r="G10" s="68" t="str">
        <x:v>[]</x:v>
      </x:c>
      <x:c r="H10" s="68" t="str">
        <x:v>Hinge</x:v>
      </x:c>
      <x:c r="I10" s="68" t="str">
        <x:v>Substitution</x:v>
      </x:c>
      <x:c r="J10" s="68" t="str">
        <x:v>Easier to control than barbell for some lifters.</x:v>
      </x:c>
      <x:c r="K10" s="68" t="str">
        <x:v>Yes</x:v>
      </x:c>
      <x:c r="L10" s="70" t="b">
        <x:v>0</x:v>
      </x:c>
      <x:c r="M10" s="83" t="n">
        <x:v>46222.416666666664</x:v>
      </x:c>
    </x:row>
    <x:row r="11">
      <x:c r="A11" s="67" t="str">
        <x:v>EX010</x:v>
      </x:c>
      <x:c r="B11" s="68" t="str">
        <x:v>Barbell hip thrust</x:v>
      </x:c>
      <x:c r="C11" s="68" t="str">
        <x:v>Glutes / Hamstrings</x:v>
      </x:c>
      <x:c r="D11" s="68" t="str">
        <x:v>Hip extension</x:v>
      </x:c>
      <x:c r="E11" s="68" t="str">
        <x:v>Barbell + plates + Bench</x:v>
      </x:c>
      <x:c r="F11" s="68" t="str">
        <x:v>[["Barbell + plates","Bench"]]</x:v>
      </x:c>
      <x:c r="G11" s="68" t="str">
        <x:v>[]</x:v>
      </x:c>
      <x:c r="H11" s="68" t="str">
        <x:v>Hinge</x:v>
      </x:c>
      <x:c r="I11" s="68" t="str">
        <x:v>Main lift</x:v>
      </x:c>
      <x:c r="J11" s="68" t="str">
        <x:v>Back-friendly hinge replacement.</x:v>
      </x:c>
      <x:c r="K11" s="68" t="str">
        <x:v>Yes</x:v>
      </x:c>
      <x:c r="L11" s="70" t="b">
        <x:v>0</x:v>
      </x:c>
      <x:c r="M11" s="83" t="n">
        <x:v>46222.416666666664</x:v>
      </x:c>
    </x:row>
    <x:row r="12">
      <x:c r="A12" s="67" t="str">
        <x:v>EX011</x:v>
      </x:c>
      <x:c r="B12" s="68" t="str">
        <x:v>Cable pull-through</x:v>
      </x:c>
      <x:c r="C12" s="68" t="str">
        <x:v>Glutes / Hamstrings</x:v>
      </x:c>
      <x:c r="D12" s="68" t="str">
        <x:v>Hip hinge</x:v>
      </x:c>
      <x:c r="E12" s="68" t="str">
        <x:v>Cable station</x:v>
      </x:c>
      <x:c r="F12" s="68" t="str">
        <x:v>[["Cable station"]]</x:v>
      </x:c>
      <x:c r="G12" s="68" t="str">
        <x:v>[]</x:v>
      </x:c>
      <x:c r="H12" s="68" t="str">
        <x:v>Hinge</x:v>
      </x:c>
      <x:c r="I12" s="68" t="str">
        <x:v>Substitution</x:v>
      </x:c>
      <x:c r="J12" s="68" t="str">
        <x:v>Good replacement for RDL if back feels taxed.</x:v>
      </x:c>
      <x:c r="K12" s="68" t="str">
        <x:v>Yes</x:v>
      </x:c>
      <x:c r="L12" s="70" t="b">
        <x:v>0</x:v>
      </x:c>
      <x:c r="M12" s="83" t="n">
        <x:v>46222.416666666664</x:v>
      </x:c>
    </x:row>
    <x:row r="13">
      <x:c r="A13" s="67" t="str">
        <x:v>EX012</x:v>
      </x:c>
      <x:c r="B13" s="68" t="str">
        <x:v>Cable leg curl</x:v>
      </x:c>
      <x:c r="C13" s="68" t="str">
        <x:v>Hamstrings</x:v>
      </x:c>
      <x:c r="D13" s="68" t="str">
        <x:v>Knee flexion</x:v>
      </x:c>
      <x:c r="E13" s="68" t="str">
        <x:v>Cable station + Ankle strap</x:v>
      </x:c>
      <x:c r="F13" s="68" t="str">
        <x:v>[["Cable station","Ankle strap"]]</x:v>
      </x:c>
      <x:c r="G13" s="68" t="str">
        <x:v>[]</x:v>
      </x:c>
      <x:c r="H13" s="68" t="str">
        <x:v>Hamstrings</x:v>
      </x:c>
      <x:c r="I13" s="68" t="str">
        <x:v>Accessory</x:v>
      </x:c>
      <x:c r="J13" s="68" t="str">
        <x:v>Can use bench/prone setup with ankle strap.</x:v>
      </x:c>
      <x:c r="K13" s="68" t="str">
        <x:v>Yes</x:v>
      </x:c>
      <x:c r="L13" s="70" t="b">
        <x:v>0</x:v>
      </x:c>
      <x:c r="M13" s="83" t="n">
        <x:v>46222.416666666664</x:v>
      </x:c>
    </x:row>
    <x:row r="14">
      <x:c r="A14" s="67" t="str">
        <x:v>EX013</x:v>
      </x:c>
      <x:c r="B14" s="68" t="str">
        <x:v>Standing calf raise</x:v>
      </x:c>
      <x:c r="C14" s="68" t="str">
        <x:v>Calves</x:v>
      </x:c>
      <x:c r="D14" s="68" t="str">
        <x:v>Calf raise</x:v>
      </x:c>
      <x:c r="E14" s="68" t="str">
        <x:v>Bodyweight / floor space</x:v>
      </x:c>
      <x:c r="F14" s="68" t="str">
        <x:v>[["Bodyweight / floor space"]]</x:v>
      </x:c>
      <x:c r="G14" s="68" t="str">
        <x:v>["Dumbbells","Barbell + plates","Calf raise platform / machine"]</x:v>
      </x:c>
      <x:c r="H14" s="68" t="str">
        <x:v>Calves</x:v>
      </x:c>
      <x:c r="I14" s="68" t="str">
        <x:v>Accessory</x:v>
      </x:c>
      <x:c r="J14" s="68" t="str">
        <x:v>Pause in stretched and contracted positions.</x:v>
      </x:c>
      <x:c r="K14" s="68" t="str">
        <x:v>Yes</x:v>
      </x:c>
      <x:c r="L14" s="70" t="b">
        <x:v>0</x:v>
      </x:c>
      <x:c r="M14" s="83" t="n">
        <x:v>46222.416666666664</x:v>
      </x:c>
    </x:row>
    <x:row r="15">
      <x:c r="A15" s="67" t="str">
        <x:v>EX014</x:v>
      </x:c>
      <x:c r="B15" s="68" t="str">
        <x:v>Barbell bench press</x:v>
      </x:c>
      <x:c r="C15" s="68" t="str">
        <x:v>Chest / Triceps</x:v>
      </x:c>
      <x:c r="D15" s="68" t="str">
        <x:v>Horizontal press</x:v>
      </x:c>
      <x:c r="E15" s="68" t="str">
        <x:v>Power rack / squat stands + Barbell + plates + Bench</x:v>
      </x:c>
      <x:c r="F15" s="68" t="str">
        <x:v>[["Power rack / squat stands","Barbell + plates","Bench"]]</x:v>
      </x:c>
      <x:c r="G15" s="68" t="str">
        <x:v>[]</x:v>
      </x:c>
      <x:c r="H15" s="68" t="str">
        <x:v>Press</x:v>
      </x:c>
      <x:c r="I15" s="68" t="str">
        <x:v>Main lift</x:v>
      </x:c>
      <x:c r="J15" s="68" t="str">
        <x:v>Use safeties in rack.</x:v>
      </x:c>
      <x:c r="K15" s="68" t="str">
        <x:v>Yes</x:v>
      </x:c>
      <x:c r="L15" s="70" t="b">
        <x:v>0</x:v>
      </x:c>
      <x:c r="M15" s="83" t="n">
        <x:v>46222.416666666664</x:v>
      </x:c>
    </x:row>
    <x:row r="16">
      <x:c r="A16" s="67" t="str">
        <x:v>EX015</x:v>
      </x:c>
      <x:c r="B16" s="68" t="str">
        <x:v>Dumbbell bench press</x:v>
      </x:c>
      <x:c r="C16" s="68" t="str">
        <x:v>Chest / Triceps</x:v>
      </x:c>
      <x:c r="D16" s="68" t="str">
        <x:v>Horizontal press</x:v>
      </x:c>
      <x:c r="E16" s="68" t="str">
        <x:v>Dumbbells + Bench</x:v>
      </x:c>
      <x:c r="F16" s="68" t="str">
        <x:v>[["Dumbbells","Bench"]]</x:v>
      </x:c>
      <x:c r="G16" s="68" t="str">
        <x:v>[]</x:v>
      </x:c>
      <x:c r="H16" s="68" t="str">
        <x:v>Press</x:v>
      </x:c>
      <x:c r="I16" s="68" t="str">
        <x:v>Substitution</x:v>
      </x:c>
      <x:c r="J16" s="68" t="str">
        <x:v>Good shoulder-friendly press variation.</x:v>
      </x:c>
      <x:c r="K16" s="68" t="str">
        <x:v>Yes</x:v>
      </x:c>
      <x:c r="L16" s="70" t="b">
        <x:v>0</x:v>
      </x:c>
      <x:c r="M16" s="83" t="n">
        <x:v>46222.416666666664</x:v>
      </x:c>
    </x:row>
    <x:row r="17">
      <x:c r="A17" s="67" t="str">
        <x:v>EX016</x:v>
      </x:c>
      <x:c r="B17" s="68" t="str">
        <x:v>Incline dumbbell press</x:v>
      </x:c>
      <x:c r="C17" s="68" t="str">
        <x:v>Upper chest</x:v>
      </x:c>
      <x:c r="D17" s="68" t="str">
        <x:v>Incline press</x:v>
      </x:c>
      <x:c r="E17" s="68" t="str">
        <x:v>Dumbbells + Adjustable bench</x:v>
      </x:c>
      <x:c r="F17" s="68" t="str">
        <x:v>[["Dumbbells","Adjustable bench"]]</x:v>
      </x:c>
      <x:c r="G17" s="68" t="str">
        <x:v>[]</x:v>
      </x:c>
      <x:c r="H17" s="68" t="str">
        <x:v>Press</x:v>
      </x:c>
      <x:c r="I17" s="68" t="str">
        <x:v>Accessory</x:v>
      </x:c>
      <x:c r="J17" s="68" t="str">
        <x:v>Use controlled eccentric.</x:v>
      </x:c>
      <x:c r="K17" s="68" t="str">
        <x:v>Yes</x:v>
      </x:c>
      <x:c r="L17" s="70" t="b">
        <x:v>0</x:v>
      </x:c>
      <x:c r="M17" s="83" t="n">
        <x:v>46222.416666666664</x:v>
      </x:c>
    </x:row>
    <x:row r="18">
      <x:c r="A18" s="67" t="str">
        <x:v>EX017</x:v>
      </x:c>
      <x:c r="B18" s="68" t="str">
        <x:v>Floor press</x:v>
      </x:c>
      <x:c r="C18" s="68" t="str">
        <x:v>Chest / Triceps</x:v>
      </x:c>
      <x:c r="D18" s="68" t="str">
        <x:v>Horizontal press</x:v>
      </x:c>
      <x:c r="E18" s="68" t="str">
        <x:v>Barbell + plates OR Dumbbells</x:v>
      </x:c>
      <x:c r="F18" s="68" t="str">
        <x:v>[["Barbell + plates"],["Dumbbells"]]</x:v>
      </x:c>
      <x:c r="G18" s="68" t="str">
        <x:v>["Power rack / squat stands"]</x:v>
      </x:c>
      <x:c r="H18" s="68" t="str">
        <x:v>Press</x:v>
      </x:c>
      <x:c r="I18" s="68" t="str">
        <x:v>Substitution</x:v>
      </x:c>
      <x:c r="J18" s="68" t="str">
        <x:v>Good if shoulder range is sensitive.</x:v>
      </x:c>
      <x:c r="K18" s="68" t="str">
        <x:v>Yes</x:v>
      </x:c>
      <x:c r="L18" s="70" t="b">
        <x:v>0</x:v>
      </x:c>
      <x:c r="M18" s="83" t="n">
        <x:v>46222.416666666664</x:v>
      </x:c>
    </x:row>
    <x:row r="19">
      <x:c r="A19" s="67" t="str">
        <x:v>EX018</x:v>
      </x:c>
      <x:c r="B19" s="68" t="str">
        <x:v>Close-grip bench press</x:v>
      </x:c>
      <x:c r="C19" s="68" t="str">
        <x:v>Triceps / Chest</x:v>
      </x:c>
      <x:c r="D19" s="68" t="str">
        <x:v>Horizontal press</x:v>
      </x:c>
      <x:c r="E19" s="68" t="str">
        <x:v>Power rack / squat stands + Barbell + plates + Bench</x:v>
      </x:c>
      <x:c r="F19" s="68" t="str">
        <x:v>[["Power rack / squat stands","Barbell + plates","Bench"]]</x:v>
      </x:c>
      <x:c r="G19" s="68" t="str">
        <x:v>[]</x:v>
      </x:c>
      <x:c r="H19" s="68" t="str">
        <x:v>Triceps</x:v>
      </x:c>
      <x:c r="I19" s="68" t="str">
        <x:v>Accessory</x:v>
      </x:c>
      <x:c r="J19" s="68" t="str">
        <x:v>Avoid painful wrist/elbow angles.</x:v>
      </x:c>
      <x:c r="K19" s="68" t="str">
        <x:v>Yes</x:v>
      </x:c>
      <x:c r="L19" s="70" t="b">
        <x:v>0</x:v>
      </x:c>
      <x:c r="M19" s="83" t="n">
        <x:v>46222.416666666664</x:v>
      </x:c>
    </x:row>
    <x:row r="20">
      <x:c r="A20" s="67" t="str">
        <x:v>EX019</x:v>
      </x:c>
      <x:c r="B20" s="68" t="str">
        <x:v>Weighted ring push-up</x:v>
      </x:c>
      <x:c r="C20" s="68" t="str">
        <x:v>Chest / Triceps</x:v>
      </x:c>
      <x:c r="D20" s="68" t="str">
        <x:v>Horizontal press</x:v>
      </x:c>
      <x:c r="E20" s="68" t="str">
        <x:v>Gymnastic rings / suspension trainer</x:v>
      </x:c>
      <x:c r="F20" s="68" t="str">
        <x:v>[["Gymnastic rings / suspension trainer"]]</x:v>
      </x:c>
      <x:c r="G20" s="68" t="str">
        <x:v>["Weighted vest"]</x:v>
      </x:c>
      <x:c r="H20" s="68" t="str">
        <x:v>Press</x:v>
      </x:c>
      <x:c r="I20" s="68" t="str">
        <x:v>Substitution</x:v>
      </x:c>
      <x:c r="J20" s="68" t="str">
        <x:v>Progress by adding load or elevating feet.</x:v>
      </x:c>
      <x:c r="K20" s="68" t="str">
        <x:v>Yes</x:v>
      </x:c>
      <x:c r="L20" s="70" t="b">
        <x:v>0</x:v>
      </x:c>
      <x:c r="M20" s="83" t="n">
        <x:v>46222.416666666664</x:v>
      </x:c>
    </x:row>
    <x:row r="21">
      <x:c r="A21" s="67" t="str">
        <x:v>EX020</x:v>
      </x:c>
      <x:c r="B21" s="68" t="str">
        <x:v>Seated dumbbell overhead press</x:v>
      </x:c>
      <x:c r="C21" s="68" t="str">
        <x:v>Delts / Triceps</x:v>
      </x:c>
      <x:c r="D21" s="68" t="str">
        <x:v>Vertical press</x:v>
      </x:c>
      <x:c r="E21" s="68" t="str">
        <x:v>Dumbbells + Bench</x:v>
      </x:c>
      <x:c r="F21" s="68" t="str">
        <x:v>[["Dumbbells","Bench"]]</x:v>
      </x:c>
      <x:c r="G21" s="68" t="str">
        <x:v>[]</x:v>
      </x:c>
      <x:c r="H21" s="68" t="str">
        <x:v>Press</x:v>
      </x:c>
      <x:c r="I21" s="68" t="str">
        <x:v>Main lift</x:v>
      </x:c>
      <x:c r="J21" s="68" t="str">
        <x:v>More back-friendly than standing press.</x:v>
      </x:c>
      <x:c r="K21" s="68" t="str">
        <x:v>Yes</x:v>
      </x:c>
      <x:c r="L21" s="70" t="b">
        <x:v>0</x:v>
      </x:c>
      <x:c r="M21" s="83" t="n">
        <x:v>46222.416666666664</x:v>
      </x:c>
    </x:row>
    <x:row r="22">
      <x:c r="A22" s="67" t="str">
        <x:v>EX021</x:v>
      </x:c>
      <x:c r="B22" s="68" t="str">
        <x:v>Standing overhead press</x:v>
      </x:c>
      <x:c r="C22" s="68" t="str">
        <x:v>Delts / Triceps</x:v>
      </x:c>
      <x:c r="D22" s="68" t="str">
        <x:v>Vertical press</x:v>
      </x:c>
      <x:c r="E22" s="68" t="str">
        <x:v>Barbell + plates</x:v>
      </x:c>
      <x:c r="F22" s="68" t="str">
        <x:v>[["Barbell + plates"]]</x:v>
      </x:c>
      <x:c r="G22" s="68" t="str">
        <x:v>[]</x:v>
      </x:c>
      <x:c r="H22" s="68" t="str">
        <x:v>Press</x:v>
      </x:c>
      <x:c r="I22" s="68" t="str">
        <x:v>Substitution</x:v>
      </x:c>
      <x:c r="J22" s="68" t="str">
        <x:v>Use only if bracing is solid.</x:v>
      </x:c>
      <x:c r="K22" s="68" t="str">
        <x:v>Yes</x:v>
      </x:c>
      <x:c r="L22" s="70" t="b">
        <x:v>0</x:v>
      </x:c>
      <x:c r="M22" s="83" t="n">
        <x:v>46222.416666666664</x:v>
      </x:c>
    </x:row>
    <x:row r="23">
      <x:c r="A23" s="67" t="str">
        <x:v>EX022</x:v>
      </x:c>
      <x:c r="B23" s="68" t="str">
        <x:v>Incline dumbbell or seated dumbbell press</x:v>
      </x:c>
      <x:c r="C23" s="68" t="str">
        <x:v>Chest / Delts</x:v>
      </x:c>
      <x:c r="D23" s="68" t="str">
        <x:v>Incline or vertical press</x:v>
      </x:c>
      <x:c r="E23" s="68" t="str">
        <x:v>Dumbbells + Adjustable bench</x:v>
      </x:c>
      <x:c r="F23" s="68" t="str">
        <x:v>[["Dumbbells","Adjustable bench"]]</x:v>
      </x:c>
      <x:c r="G23" s="68" t="str">
        <x:v>[]</x:v>
      </x:c>
      <x:c r="H23" s="68" t="str">
        <x:v>Press</x:v>
      </x:c>
      <x:c r="I23" s="68" t="str">
        <x:v>RFL combined slot</x:v>
      </x:c>
      <x:c r="J23" s="68" t="str">
        <x:v>Choose the one that feels strongest that day.</x:v>
      </x:c>
      <x:c r="K23" s="68" t="str">
        <x:v>Yes</x:v>
      </x:c>
      <x:c r="L23" s="70" t="b">
        <x:v>0</x:v>
      </x:c>
      <x:c r="M23" s="83" t="n">
        <x:v>46222.416666666664</x:v>
      </x:c>
    </x:row>
    <x:row r="24">
      <x:c r="A24" s="67" t="str">
        <x:v>EX023</x:v>
      </x:c>
      <x:c r="B24" s="68" t="str">
        <x:v>Chest-supported dumbbell row</x:v>
      </x:c>
      <x:c r="C24" s="68" t="str">
        <x:v>Upper back / Lats</x:v>
      </x:c>
      <x:c r="D24" s="68" t="str">
        <x:v>Horizontal pull</x:v>
      </x:c>
      <x:c r="E24" s="68" t="str">
        <x:v>Dumbbells + Adjustable bench</x:v>
      </x:c>
      <x:c r="F24" s="68" t="str">
        <x:v>[["Dumbbells","Adjustable bench"]]</x:v>
      </x:c>
      <x:c r="G24" s="68" t="str">
        <x:v>[]</x:v>
      </x:c>
      <x:c r="H24" s="68" t="str">
        <x:v>Row</x:v>
      </x:c>
      <x:c r="I24" s="68" t="str">
        <x:v>Main lift</x:v>
      </x:c>
      <x:c r="J24" s="68" t="str">
        <x:v>Preferred back-friendly row.</x:v>
      </x:c>
      <x:c r="K24" s="68" t="str">
        <x:v>Yes</x:v>
      </x:c>
      <x:c r="L24" s="70" t="b">
        <x:v>0</x:v>
      </x:c>
      <x:c r="M24" s="83" t="n">
        <x:v>46222.416666666664</x:v>
      </x:c>
    </x:row>
    <x:row r="25">
      <x:c r="A25" s="67" t="str">
        <x:v>EX024</x:v>
      </x:c>
      <x:c r="B25" s="68" t="str">
        <x:v>One-arm cable row</x:v>
      </x:c>
      <x:c r="C25" s="68" t="str">
        <x:v>Upper back / Lats</x:v>
      </x:c>
      <x:c r="D25" s="68" t="str">
        <x:v>Horizontal pull</x:v>
      </x:c>
      <x:c r="E25" s="68" t="str">
        <x:v>Cable station</x:v>
      </x:c>
      <x:c r="F25" s="68" t="str">
        <x:v>[["Cable station"]]</x:v>
      </x:c>
      <x:c r="G25" s="68" t="str">
        <x:v>[]</x:v>
      </x:c>
      <x:c r="H25" s="68" t="str">
        <x:v>Row</x:v>
      </x:c>
      <x:c r="I25" s="68" t="str">
        <x:v>Accessory</x:v>
      </x:c>
      <x:c r="J25" s="68" t="str">
        <x:v>Keep torso stable.</x:v>
      </x:c>
      <x:c r="K25" s="68" t="str">
        <x:v>Yes</x:v>
      </x:c>
      <x:c r="L25" s="70" t="b">
        <x:v>0</x:v>
      </x:c>
      <x:c r="M25" s="83" t="n">
        <x:v>46222.416666666664</x:v>
      </x:c>
    </x:row>
    <x:row r="26">
      <x:c r="A26" s="67" t="str">
        <x:v>EX025</x:v>
      </x:c>
      <x:c r="B26" s="68" t="str">
        <x:v>Seated cable row</x:v>
      </x:c>
      <x:c r="C26" s="68" t="str">
        <x:v>Upper back / Lats</x:v>
      </x:c>
      <x:c r="D26" s="68" t="str">
        <x:v>Horizontal pull</x:v>
      </x:c>
      <x:c r="E26" s="68" t="str">
        <x:v>Cable station OR Lat pulldown / low row machine</x:v>
      </x:c>
      <x:c r="F26" s="68" t="str">
        <x:v>[["Cable station"],["Lat pulldown / low row machine"]]</x:v>
      </x:c>
      <x:c r="G26" s="68" t="str">
        <x:v>[]</x:v>
      </x:c>
      <x:c r="H26" s="68" t="str">
        <x:v>Row</x:v>
      </x:c>
      <x:c r="I26" s="68" t="str">
        <x:v>Substitution</x:v>
      </x:c>
      <x:c r="J26" s="68" t="str">
        <x:v>Good controlled row option.</x:v>
      </x:c>
      <x:c r="K26" s="68" t="str">
        <x:v>Yes</x:v>
      </x:c>
      <x:c r="L26" s="70" t="b">
        <x:v>0</x:v>
      </x:c>
      <x:c r="M26" s="83" t="n">
        <x:v>46222.416666666664</x:v>
      </x:c>
    </x:row>
    <x:row r="27">
      <x:c r="A27" s="67" t="str">
        <x:v>EX026</x:v>
      </x:c>
      <x:c r="B27" s="68" t="str">
        <x:v>One-arm dumbbell row</x:v>
      </x:c>
      <x:c r="C27" s="68" t="str">
        <x:v>Lats / Upper back</x:v>
      </x:c>
      <x:c r="D27" s="68" t="str">
        <x:v>Horizontal pull</x:v>
      </x:c>
      <x:c r="E27" s="68" t="str">
        <x:v>Dumbbells + Bench</x:v>
      </x:c>
      <x:c r="F27" s="68" t="str">
        <x:v>[["Dumbbells","Bench"]]</x:v>
      </x:c>
      <x:c r="G27" s="68" t="str">
        <x:v>[]</x:v>
      </x:c>
      <x:c r="H27" s="68" t="str">
        <x:v>Row</x:v>
      </x:c>
      <x:c r="I27" s="68" t="str">
        <x:v>Substitution</x:v>
      </x:c>
      <x:c r="J27" s="68" t="str">
        <x:v>Support torso on bench.</x:v>
      </x:c>
      <x:c r="K27" s="68" t="str">
        <x:v>Yes</x:v>
      </x:c>
      <x:c r="L27" s="70" t="b">
        <x:v>0</x:v>
      </x:c>
      <x:c r="M27" s="83" t="n">
        <x:v>46222.416666666664</x:v>
      </x:c>
    </x:row>
    <x:row r="28">
      <x:c r="A28" s="67" t="str">
        <x:v>EX027</x:v>
      </x:c>
      <x:c r="B28" s="68" t="str">
        <x:v>Inverted row</x:v>
      </x:c>
      <x:c r="C28" s="68" t="str">
        <x:v>Upper back</x:v>
      </x:c>
      <x:c r="D28" s="68" t="str">
        <x:v>Horizontal pull</x:v>
      </x:c>
      <x:c r="E28" s="68" t="str">
        <x:v>Gymnastic rings / suspension trainer OR Power rack / squat stands + Barbell + plates</x:v>
      </x:c>
      <x:c r="F28" s="68" t="str">
        <x:v>[["Gymnastic rings / suspension trainer"],["Power rack / squat stands","Barbell + plates"]]</x:v>
      </x:c>
      <x:c r="G28" s="68" t="str">
        <x:v>["Weighted vest"]</x:v>
      </x:c>
      <x:c r="H28" s="68" t="str">
        <x:v>Row</x:v>
      </x:c>
      <x:c r="I28" s="68" t="str">
        <x:v>Substitution</x:v>
      </x:c>
      <x:c r="J28" s="68" t="str">
        <x:v>Adjust body angle for difficulty.</x:v>
      </x:c>
      <x:c r="K28" s="68" t="str">
        <x:v>Yes</x:v>
      </x:c>
      <x:c r="L28" s="70" t="b">
        <x:v>0</x:v>
      </x:c>
      <x:c r="M28" s="83" t="n">
        <x:v>46222.416666666664</x:v>
      </x:c>
    </x:row>
    <x:row r="29">
      <x:c r="A29" s="67" t="str">
        <x:v>EX028</x:v>
      </x:c>
      <x:c r="B29" s="68" t="str">
        <x:v>Barbell row</x:v>
      </x:c>
      <x:c r="C29" s="68" t="str">
        <x:v>Upper back</x:v>
      </x:c>
      <x:c r="D29" s="68" t="str">
        <x:v>Horizontal pull</x:v>
      </x:c>
      <x:c r="E29" s="68" t="str">
        <x:v>Barbell + plates</x:v>
      </x:c>
      <x:c r="F29" s="68" t="str">
        <x:v>[["Barbell + plates"]]</x:v>
      </x:c>
      <x:c r="G29" s="68" t="str">
        <x:v>[]</x:v>
      </x:c>
      <x:c r="H29" s="68" t="str">
        <x:v>Row</x:v>
      </x:c>
      <x:c r="I29" s="68" t="str">
        <x:v>Caution</x:v>
      </x:c>
      <x:c r="J29" s="68" t="str">
        <x:v>Use only if lower back is not limiting.</x:v>
      </x:c>
      <x:c r="K29" s="68" t="str">
        <x:v>No during RFL if fatigued</x:v>
      </x:c>
      <x:c r="L29" s="70" t="b">
        <x:v>0</x:v>
      </x:c>
      <x:c r="M29" s="83" t="n">
        <x:v>46222.416666666664</x:v>
      </x:c>
    </x:row>
    <x:row r="30">
      <x:c r="A30" s="67" t="str">
        <x:v>EX029</x:v>
      </x:c>
      <x:c r="B30" s="68" t="str">
        <x:v>Cable lat pulldown</x:v>
      </x:c>
      <x:c r="C30" s="68" t="str">
        <x:v>Lats</x:v>
      </x:c>
      <x:c r="D30" s="68" t="str">
        <x:v>Vertical pull</x:v>
      </x:c>
      <x:c r="E30" s="68" t="str">
        <x:v>Cable station OR Lat pulldown / low row machine</x:v>
      </x:c>
      <x:c r="F30" s="68" t="str">
        <x:v>[["Cable station"],["Lat pulldown / low row machine"]]</x:v>
      </x:c>
      <x:c r="G30" s="68" t="str">
        <x:v>[]</x:v>
      </x:c>
      <x:c r="H30" s="68" t="str">
        <x:v>Vertical pull</x:v>
      </x:c>
      <x:c r="I30" s="68" t="str">
        <x:v>Main lift</x:v>
      </x:c>
      <x:c r="J30" s="68" t="str">
        <x:v>Use controlled stretch.</x:v>
      </x:c>
      <x:c r="K30" s="68" t="str">
        <x:v>Yes</x:v>
      </x:c>
      <x:c r="L30" s="70" t="b">
        <x:v>0</x:v>
      </x:c>
      <x:c r="M30" s="83" t="n">
        <x:v>46222.416666666664</x:v>
      </x:c>
    </x:row>
    <x:row r="31">
      <x:c r="A31" s="67" t="str">
        <x:v>EX030</x:v>
      </x:c>
      <x:c r="B31" s="68" t="str">
        <x:v>Ring chin-up</x:v>
      </x:c>
      <x:c r="C31" s="68" t="str">
        <x:v>Lats / Biceps</x:v>
      </x:c>
      <x:c r="D31" s="68" t="str">
        <x:v>Vertical pull</x:v>
      </x:c>
      <x:c r="E31" s="68" t="str">
        <x:v>Gymnastic rings / suspension trainer</x:v>
      </x:c>
      <x:c r="F31" s="68" t="str">
        <x:v>[["Gymnastic rings / suspension trainer"]]</x:v>
      </x:c>
      <x:c r="G31" s="68" t="str">
        <x:v>["Resistance bands / tubes","Dip belt / loading belt"]</x:v>
      </x:c>
      <x:c r="H31" s="68" t="str">
        <x:v>Vertical pull</x:v>
      </x:c>
      <x:c r="I31" s="68" t="str">
        <x:v>Substitution</x:v>
      </x:c>
      <x:c r="J31" s="68" t="str">
        <x:v>Use assistance if needed.</x:v>
      </x:c>
      <x:c r="K31" s="68" t="str">
        <x:v>Yes</x:v>
      </x:c>
      <x:c r="L31" s="70" t="b">
        <x:v>0</x:v>
      </x:c>
      <x:c r="M31" s="83" t="n">
        <x:v>46222.416666666664</x:v>
      </x:c>
    </x:row>
    <x:row r="32">
      <x:c r="A32" s="67" t="str">
        <x:v>EX031</x:v>
      </x:c>
      <x:c r="B32" s="68" t="str">
        <x:v>Weighted chin-up</x:v>
      </x:c>
      <x:c r="C32" s="68" t="str">
        <x:v>Lats / Biceps</x:v>
      </x:c>
      <x:c r="D32" s="68" t="str">
        <x:v>Vertical pull</x:v>
      </x:c>
      <x:c r="E32" s="68" t="str">
        <x:v>Pull-up bar + Dip belt / loading belt</x:v>
      </x:c>
      <x:c r="F32" s="68" t="str">
        <x:v>[["Pull-up bar","Dip belt / loading belt"]]</x:v>
      </x:c>
      <x:c r="G32" s="68" t="str">
        <x:v>[]</x:v>
      </x:c>
      <x:c r="H32" s="68" t="str">
        <x:v>Vertical pull</x:v>
      </x:c>
      <x:c r="I32" s="68" t="str">
        <x:v>Main lift</x:v>
      </x:c>
      <x:c r="J32" s="68" t="str">
        <x:v>Only load when reps are clean.</x:v>
      </x:c>
      <x:c r="K32" s="68" t="str">
        <x:v>Yes</x:v>
      </x:c>
      <x:c r="L32" s="70" t="b">
        <x:v>0</x:v>
      </x:c>
      <x:c r="M32" s="83" t="n">
        <x:v>46222.416666666664</x:v>
      </x:c>
    </x:row>
    <x:row r="33">
      <x:c r="A33" s="67" t="str">
        <x:v>EX032</x:v>
      </x:c>
      <x:c r="B33" s="68" t="str">
        <x:v>Straight-arm cable pulldown</x:v>
      </x:c>
      <x:c r="C33" s="68" t="str">
        <x:v>Lats</x:v>
      </x:c>
      <x:c r="D33" s="68" t="str">
        <x:v>Pullover</x:v>
      </x:c>
      <x:c r="E33" s="68" t="str">
        <x:v>Cable station</x:v>
      </x:c>
      <x:c r="F33" s="68" t="str">
        <x:v>[["Cable station"]]</x:v>
      </x:c>
      <x:c r="G33" s="68" t="str">
        <x:v>[]</x:v>
      </x:c>
      <x:c r="H33" s="68" t="str">
        <x:v>Vertical pull</x:v>
      </x:c>
      <x:c r="I33" s="68" t="str">
        <x:v>Accessory</x:v>
      </x:c>
      <x:c r="J33" s="68" t="str">
        <x:v>Good lat isolation add-on.</x:v>
      </x:c>
      <x:c r="K33" s="68" t="str">
        <x:v>Yes</x:v>
      </x:c>
      <x:c r="L33" s="70" t="b">
        <x:v>0</x:v>
      </x:c>
      <x:c r="M33" s="83" t="n">
        <x:v>46222.416666666664</x:v>
      </x:c>
    </x:row>
    <x:row r="34">
      <x:c r="A34" s="67" t="str">
        <x:v>EX033</x:v>
      </x:c>
      <x:c r="B34" s="68" t="str">
        <x:v>Cable lateral raise</x:v>
      </x:c>
      <x:c r="C34" s="68" t="str">
        <x:v>Side delts</x:v>
      </x:c>
      <x:c r="D34" s="68" t="str">
        <x:v>Lateral raise</x:v>
      </x:c>
      <x:c r="E34" s="68" t="str">
        <x:v>Cable station</x:v>
      </x:c>
      <x:c r="F34" s="68" t="str">
        <x:v>[["Cable station"]]</x:v>
      </x:c>
      <x:c r="G34" s="68" t="str">
        <x:v>[]</x:v>
      </x:c>
      <x:c r="H34" s="68" t="str">
        <x:v>Delts</x:v>
      </x:c>
      <x:c r="I34" s="68" t="str">
        <x:v>GVS-style accessory</x:v>
      </x:c>
      <x:c r="J34" s="68" t="str">
        <x:v>High-control delt work.</x:v>
      </x:c>
      <x:c r="K34" s="68" t="str">
        <x:v>Yes</x:v>
      </x:c>
      <x:c r="L34" s="70" t="b">
        <x:v>0</x:v>
      </x:c>
      <x:c r="M34" s="83" t="n">
        <x:v>46222.416666666664</x:v>
      </x:c>
    </x:row>
    <x:row r="35">
      <x:c r="A35" s="67" t="str">
        <x:v>EX034</x:v>
      </x:c>
      <x:c r="B35" s="68" t="str">
        <x:v>Dumbbell lateral raise</x:v>
      </x:c>
      <x:c r="C35" s="68" t="str">
        <x:v>Side delts</x:v>
      </x:c>
      <x:c r="D35" s="68" t="str">
        <x:v>Lateral raise</x:v>
      </x:c>
      <x:c r="E35" s="68" t="str">
        <x:v>Dumbbells</x:v>
      </x:c>
      <x:c r="F35" s="68" t="str">
        <x:v>[["Dumbbells"]]</x:v>
      </x:c>
      <x:c r="G35" s="68" t="str">
        <x:v>[]</x:v>
      </x:c>
      <x:c r="H35" s="68" t="str">
        <x:v>Delts</x:v>
      </x:c>
      <x:c r="I35" s="68" t="str">
        <x:v>Substitution</x:v>
      </x:c>
      <x:c r="J35" s="68" t="str">
        <x:v>Use strict reps; avoid swinging.</x:v>
      </x:c>
      <x:c r="K35" s="68" t="str">
        <x:v>Yes</x:v>
      </x:c>
      <x:c r="L35" s="70" t="b">
        <x:v>0</x:v>
      </x:c>
      <x:c r="M35" s="83" t="n">
        <x:v>46222.416666666664</x:v>
      </x:c>
    </x:row>
    <x:row r="36">
      <x:c r="A36" s="67" t="str">
        <x:v>EX035</x:v>
      </x:c>
      <x:c r="B36" s="68" t="str">
        <x:v>Cable rear-delt fly</x:v>
      </x:c>
      <x:c r="C36" s="68" t="str">
        <x:v>Rear delts</x:v>
      </x:c>
      <x:c r="D36" s="68" t="str">
        <x:v>Rear delt</x:v>
      </x:c>
      <x:c r="E36" s="68" t="str">
        <x:v>Cable station</x:v>
      </x:c>
      <x:c r="F36" s="68" t="str">
        <x:v>[["Cable station"]]</x:v>
      </x:c>
      <x:c r="G36" s="68" t="str">
        <x:v>[]</x:v>
      </x:c>
      <x:c r="H36" s="68" t="str">
        <x:v>Rear delts</x:v>
      </x:c>
      <x:c r="I36" s="68" t="str">
        <x:v>Accessory</x:v>
      </x:c>
      <x:c r="J36" s="68" t="str">
        <x:v>Lead with elbows, not hands.</x:v>
      </x:c>
      <x:c r="K36" s="68" t="str">
        <x:v>Yes</x:v>
      </x:c>
      <x:c r="L36" s="70" t="b">
        <x:v>0</x:v>
      </x:c>
      <x:c r="M36" s="83" t="n">
        <x:v>46222.416666666664</x:v>
      </x:c>
    </x:row>
    <x:row r="37">
      <x:c r="A37" s="67" t="str">
        <x:v>EX036</x:v>
      </x:c>
      <x:c r="B37" s="68" t="str">
        <x:v>Face pull</x:v>
      </x:c>
      <x:c r="C37" s="68" t="str">
        <x:v>Rear delts / Upper back</x:v>
      </x:c>
      <x:c r="D37" s="68" t="str">
        <x:v>Rear delt / external rotation</x:v>
      </x:c>
      <x:c r="E37" s="68" t="str">
        <x:v>Cable station + Rope cable attachment</x:v>
      </x:c>
      <x:c r="F37" s="68" t="str">
        <x:v>[["Cable station","Rope cable attachment"]]</x:v>
      </x:c>
      <x:c r="G37" s="68" t="str">
        <x:v>[]</x:v>
      </x:c>
      <x:c r="H37" s="68" t="str">
        <x:v>Rear delts</x:v>
      </x:c>
      <x:c r="I37" s="68" t="str">
        <x:v>Substitution</x:v>
      </x:c>
      <x:c r="J37" s="68" t="str">
        <x:v>Good shoulder-health option.</x:v>
      </x:c>
      <x:c r="K37" s="68" t="str">
        <x:v>Yes</x:v>
      </x:c>
      <x:c r="L37" s="70" t="b">
        <x:v>0</x:v>
      </x:c>
      <x:c r="M37" s="83" t="n">
        <x:v>46222.416666666664</x:v>
      </x:c>
    </x:row>
    <x:row r="38">
      <x:c r="A38" s="67" t="str">
        <x:v>EX037</x:v>
      </x:c>
      <x:c r="B38" s="68" t="str">
        <x:v>Rear-delt cable fly</x:v>
      </x:c>
      <x:c r="C38" s="68" t="str">
        <x:v>Rear delts</x:v>
      </x:c>
      <x:c r="D38" s="68" t="str">
        <x:v>Rear delt</x:v>
      </x:c>
      <x:c r="E38" s="68" t="str">
        <x:v>Cable station</x:v>
      </x:c>
      <x:c r="F38" s="68" t="str">
        <x:v>[["Cable station"]]</x:v>
      </x:c>
      <x:c r="G38" s="68" t="str">
        <x:v>[]</x:v>
      </x:c>
      <x:c r="H38" s="68" t="str">
        <x:v>Rear delts</x:v>
      </x:c>
      <x:c r="I38" s="68" t="str">
        <x:v>Accessory</x:v>
      </x:c>
      <x:c r="J38" s="68" t="str">
        <x:v>Same as cable rear-delt fly.</x:v>
      </x:c>
      <x:c r="K38" s="68" t="str">
        <x:v>Yes</x:v>
      </x:c>
      <x:c r="L38" s="70" t="b">
        <x:v>0</x:v>
      </x:c>
      <x:c r="M38" s="83" t="n">
        <x:v>46222.416666666664</x:v>
      </x:c>
    </x:row>
    <x:row r="39">
      <x:c r="A39" s="67" t="str">
        <x:v>EX038</x:v>
      </x:c>
      <x:c r="B39" s="68" t="str">
        <x:v>Cable triceps pushdown</x:v>
      </x:c>
      <x:c r="C39" s="68" t="str">
        <x:v>Triceps</x:v>
      </x:c>
      <x:c r="D39" s="68" t="str">
        <x:v>Elbow extension</x:v>
      </x:c>
      <x:c r="E39" s="68" t="str">
        <x:v>Cable station</x:v>
      </x:c>
      <x:c r="F39" s="68" t="str">
        <x:v>[["Cable station"]]</x:v>
      </x:c>
      <x:c r="G39" s="68" t="str">
        <x:v>[]</x:v>
      </x:c>
      <x:c r="H39" s="68" t="str">
        <x:v>Triceps</x:v>
      </x:c>
      <x:c r="I39" s="68" t="str">
        <x:v>Accessory</x:v>
      </x:c>
      <x:c r="J39" s="68" t="str">
        <x:v>Keep upper arm fixed.</x:v>
      </x:c>
      <x:c r="K39" s="68" t="str">
        <x:v>Yes</x:v>
      </x:c>
      <x:c r="L39" s="70" t="b">
        <x:v>0</x:v>
      </x:c>
      <x:c r="M39" s="83" t="n">
        <x:v>46222.416666666664</x:v>
      </x:c>
    </x:row>
    <x:row r="40">
      <x:c r="A40" s="67" t="str">
        <x:v>EX039</x:v>
      </x:c>
      <x:c r="B40" s="68" t="str">
        <x:v>Overhead cable triceps extension</x:v>
      </x:c>
      <x:c r="C40" s="68" t="str">
        <x:v>Triceps long head</x:v>
      </x:c>
      <x:c r="D40" s="68" t="str">
        <x:v>Elbow extension</x:v>
      </x:c>
      <x:c r="E40" s="68" t="str">
        <x:v>Cable station + Rope cable attachment</x:v>
      </x:c>
      <x:c r="F40" s="68" t="str">
        <x:v>[["Cable station","Rope cable attachment"]]</x:v>
      </x:c>
      <x:c r="G40" s="68" t="str">
        <x:v>[]</x:v>
      </x:c>
      <x:c r="H40" s="68" t="str">
        <x:v>Triceps</x:v>
      </x:c>
      <x:c r="I40" s="68" t="str">
        <x:v>Accessory</x:v>
      </x:c>
      <x:c r="J40" s="68" t="str">
        <x:v>Use pain-free elbow path.</x:v>
      </x:c>
      <x:c r="K40" s="68" t="str">
        <x:v>Yes</x:v>
      </x:c>
      <x:c r="L40" s="70" t="b">
        <x:v>0</x:v>
      </x:c>
      <x:c r="M40" s="83" t="n">
        <x:v>46222.416666666664</x:v>
      </x:c>
    </x:row>
    <x:row r="41">
      <x:c r="A41" s="67" t="str">
        <x:v>EX040</x:v>
      </x:c>
      <x:c r="B41" s="68" t="str">
        <x:v>Dumbbell skull crusher</x:v>
      </x:c>
      <x:c r="C41" s="68" t="str">
        <x:v>Triceps</x:v>
      </x:c>
      <x:c r="D41" s="68" t="str">
        <x:v>Elbow extension</x:v>
      </x:c>
      <x:c r="E41" s="68" t="str">
        <x:v>Dumbbells</x:v>
      </x:c>
      <x:c r="F41" s="68" t="str">
        <x:v>[["Dumbbells"]]</x:v>
      </x:c>
      <x:c r="G41" s="68" t="str">
        <x:v>[]</x:v>
      </x:c>
      <x:c r="H41" s="68" t="str">
        <x:v>Triceps</x:v>
      </x:c>
      <x:c r="I41" s="68" t="str">
        <x:v>Substitution</x:v>
      </x:c>
      <x:c r="J41" s="68" t="str">
        <x:v>Use light and controlled.</x:v>
      </x:c>
      <x:c r="K41" s="68" t="str">
        <x:v>Maybe</x:v>
      </x:c>
      <x:c r="L41" s="70" t="b">
        <x:v>0</x:v>
      </x:c>
      <x:c r="M41" s="83" t="n">
        <x:v>46222.416666666664</x:v>
      </x:c>
    </x:row>
    <x:row r="42">
      <x:c r="A42" s="67" t="str">
        <x:v>EX041</x:v>
      </x:c>
      <x:c r="B42" s="68" t="str">
        <x:v>Cable curl</x:v>
      </x:c>
      <x:c r="C42" s="68" t="str">
        <x:v>Biceps</x:v>
      </x:c>
      <x:c r="D42" s="68" t="str">
        <x:v>Elbow flexion</x:v>
      </x:c>
      <x:c r="E42" s="68" t="str">
        <x:v>Cable station</x:v>
      </x:c>
      <x:c r="F42" s="68" t="str">
        <x:v>[["Cable station"]]</x:v>
      </x:c>
      <x:c r="G42" s="68" t="str">
        <x:v>[]</x:v>
      </x:c>
      <x:c r="H42" s="68" t="str">
        <x:v>Biceps</x:v>
      </x:c>
      <x:c r="I42" s="68" t="str">
        <x:v>Accessory</x:v>
      </x:c>
      <x:c r="J42" s="68" t="str">
        <x:v>Constant tension curl.</x:v>
      </x:c>
      <x:c r="K42" s="68" t="str">
        <x:v>Yes</x:v>
      </x:c>
      <x:c r="L42" s="70" t="b">
        <x:v>0</x:v>
      </x:c>
      <x:c r="M42" s="83" t="n">
        <x:v>46222.416666666664</x:v>
      </x:c>
    </x:row>
    <x:row r="43">
      <x:c r="A43" s="67" t="str">
        <x:v>EX042</x:v>
      </x:c>
      <x:c r="B43" s="68" t="str">
        <x:v>Incline dumbbell curl</x:v>
      </x:c>
      <x:c r="C43" s="68" t="str">
        <x:v>Biceps</x:v>
      </x:c>
      <x:c r="D43" s="68" t="str">
        <x:v>Elbow flexion</x:v>
      </x:c>
      <x:c r="E43" s="68" t="str">
        <x:v>Dumbbells + Adjustable bench</x:v>
      </x:c>
      <x:c r="F43" s="68" t="str">
        <x:v>[["Dumbbells","Adjustable bench"]]</x:v>
      </x:c>
      <x:c r="G43" s="68" t="str">
        <x:v>[]</x:v>
      </x:c>
      <x:c r="H43" s="68" t="str">
        <x:v>Biceps</x:v>
      </x:c>
      <x:c r="I43" s="68" t="str">
        <x:v>Accessory</x:v>
      </x:c>
      <x:c r="J43" s="68" t="str">
        <x:v>Great long-head stretch; do not overextend shoulder.</x:v>
      </x:c>
      <x:c r="K43" s="68" t="str">
        <x:v>Yes</x:v>
      </x:c>
      <x:c r="L43" s="70" t="b">
        <x:v>0</x:v>
      </x:c>
      <x:c r="M43" s="83" t="n">
        <x:v>46222.416666666664</x:v>
      </x:c>
    </x:row>
    <x:row r="44">
      <x:c r="A44" s="67" t="str">
        <x:v>EX043</x:v>
      </x:c>
      <x:c r="B44" s="68" t="str">
        <x:v>Dumbbell hammer curl</x:v>
      </x:c>
      <x:c r="C44" s="68" t="str">
        <x:v>Biceps / Brachialis</x:v>
      </x:c>
      <x:c r="D44" s="68" t="str">
        <x:v>Elbow flexion</x:v>
      </x:c>
      <x:c r="E44" s="68" t="str">
        <x:v>Dumbbells</x:v>
      </x:c>
      <x:c r="F44" s="68" t="str">
        <x:v>[["Dumbbells"]]</x:v>
      </x:c>
      <x:c r="G44" s="68" t="str">
        <x:v>[]</x:v>
      </x:c>
      <x:c r="H44" s="68" t="str">
        <x:v>Biceps</x:v>
      </x:c>
      <x:c r="I44" s="68" t="str">
        <x:v>Accessory</x:v>
      </x:c>
      <x:c r="J44" s="68" t="str">
        <x:v>Neutral-grip elbow-friendly curl.</x:v>
      </x:c>
      <x:c r="K44" s="68" t="str">
        <x:v>Yes</x:v>
      </x:c>
      <x:c r="L44" s="70" t="b">
        <x:v>0</x:v>
      </x:c>
      <x:c r="M44" s="83" t="n">
        <x:v>46222.416666666664</x:v>
      </x:c>
    </x:row>
    <x:row r="45">
      <x:c r="A45" s="67" t="str">
        <x:v>EX044</x:v>
      </x:c>
      <x:c r="B45" s="68" t="str">
        <x:v>Ring curl</x:v>
      </x:c>
      <x:c r="C45" s="68" t="str">
        <x:v>Biceps</x:v>
      </x:c>
      <x:c r="D45" s="68" t="str">
        <x:v>Elbow flexion</x:v>
      </x:c>
      <x:c r="E45" s="68" t="str">
        <x:v>Gymnastic rings / suspension trainer</x:v>
      </x:c>
      <x:c r="F45" s="68" t="str">
        <x:v>[["Gymnastic rings / suspension trainer"]]</x:v>
      </x:c>
      <x:c r="G45" s="68" t="str">
        <x:v>[]</x:v>
      </x:c>
      <x:c r="H45" s="68" t="str">
        <x:v>Biceps</x:v>
      </x:c>
      <x:c r="I45" s="68" t="str">
        <x:v>Substitution</x:v>
      </x:c>
      <x:c r="J45" s="68" t="str">
        <x:v>Adjust angle for difficulty.</x:v>
      </x:c>
      <x:c r="K45" s="68" t="str">
        <x:v>Yes</x:v>
      </x:c>
      <x:c r="L45" s="70" t="b">
        <x:v>0</x:v>
      </x:c>
      <x:c r="M45" s="83" t="n">
        <x:v>46222.416666666664</x:v>
      </x:c>
    </x:row>
    <x:row r="46">
      <x:c r="A46" s="67" t="str">
        <x:v>EX045</x:v>
      </x:c>
      <x:c r="B46" s="68" t="str">
        <x:v>Cable or ring curl</x:v>
      </x:c>
      <x:c r="C46" s="68" t="str">
        <x:v>Biceps</x:v>
      </x:c>
      <x:c r="D46" s="68" t="str">
        <x:v>Elbow flexion</x:v>
      </x:c>
      <x:c r="E46" s="68" t="str">
        <x:v>Cable station OR Gymnastic rings / suspension trainer</x:v>
      </x:c>
      <x:c r="F46" s="68" t="str">
        <x:v>[["Cable station"],["Gymnastic rings / suspension trainer"]]</x:v>
      </x:c>
      <x:c r="G46" s="68" t="str">
        <x:v>[]</x:v>
      </x:c>
      <x:c r="H46" s="68" t="str">
        <x:v>Biceps</x:v>
      </x:c>
      <x:c r="I46" s="68" t="str">
        <x:v>Optional slot</x:v>
      </x:c>
      <x:c r="J46" s="68" t="str">
        <x:v>Choose cable if elbows feel sensitive.</x:v>
      </x:c>
      <x:c r="K46" s="68" t="str">
        <x:v>Yes</x:v>
      </x:c>
      <x:c r="L46" s="70" t="b">
        <x:v>0</x:v>
      </x:c>
      <x:c r="M46" s="83" t="n">
        <x:v>46222.416666666664</x:v>
      </x:c>
    </x:row>
    <x:row r="47">
      <x:c r="A47" s="67" t="str">
        <x:v>EX046</x:v>
      </x:c>
      <x:c r="B47" s="68" t="str">
        <x:v>Dead bug</x:v>
      </x:c>
      <x:c r="C47" s="68" t="str">
        <x:v>Core</x:v>
      </x:c>
      <x:c r="D47" s="68" t="str">
        <x:v>Anti-extension</x:v>
      </x:c>
      <x:c r="E47" s="68" t="str">
        <x:v>Bodyweight / floor space</x:v>
      </x:c>
      <x:c r="F47" s="68" t="str">
        <x:v>[["Bodyweight / floor space"]]</x:v>
      </x:c>
      <x:c r="G47" s="68" t="str">
        <x:v>[]</x:v>
      </x:c>
      <x:c r="H47" s="68" t="str">
        <x:v>Core</x:v>
      </x:c>
      <x:c r="I47" s="68" t="str">
        <x:v>Accessory</x:v>
      </x:c>
      <x:c r="J47" s="68" t="str">
        <x:v>Control lower back position.</x:v>
      </x:c>
      <x:c r="K47" s="68" t="str">
        <x:v>Yes</x:v>
      </x:c>
      <x:c r="L47" s="70" t="b">
        <x:v>0</x:v>
      </x:c>
      <x:c r="M47" s="83" t="n">
        <x:v>46222.416666666664</x:v>
      </x:c>
    </x:row>
    <x:row r="48">
      <x:c r="A48" s="67" t="str">
        <x:v>EX047</x:v>
      </x:c>
      <x:c r="B48" s="68" t="str">
        <x:v>Pallof press</x:v>
      </x:c>
      <x:c r="C48" s="68" t="str">
        <x:v>Core</x:v>
      </x:c>
      <x:c r="D48" s="68" t="str">
        <x:v>Anti-rotation</x:v>
      </x:c>
      <x:c r="E48" s="68" t="str">
        <x:v>Cable station OR Resistance bands / tubes</x:v>
      </x:c>
      <x:c r="F48" s="68" t="str">
        <x:v>[["Cable station"],["Resistance bands / tubes"]]</x:v>
      </x:c>
      <x:c r="G48" s="68" t="str">
        <x:v>[]</x:v>
      </x:c>
      <x:c r="H48" s="68" t="str">
        <x:v>Core</x:v>
      </x:c>
      <x:c r="I48" s="68" t="str">
        <x:v>Accessory</x:v>
      </x:c>
      <x:c r="J48" s="68" t="str">
        <x:v>Pause each rep.</x:v>
      </x:c>
      <x:c r="K48" s="68" t="str">
        <x:v>Yes</x:v>
      </x:c>
      <x:c r="L48" s="70" t="b">
        <x:v>0</x:v>
      </x:c>
      <x:c r="M48" s="83" t="n">
        <x:v>46222.416666666664</x:v>
      </x:c>
    </x:row>
    <x:row r="49">
      <x:c r="A49" s="67" t="str">
        <x:v>EX048</x:v>
      </x:c>
      <x:c r="B49" s="68" t="str">
        <x:v>Ab wheel</x:v>
      </x:c>
      <x:c r="C49" s="68" t="str">
        <x:v>Core</x:v>
      </x:c>
      <x:c r="D49" s="68" t="str">
        <x:v>Anti-extension</x:v>
      </x:c>
      <x:c r="E49" s="68" t="str">
        <x:v>Ab wheel</x:v>
      </x:c>
      <x:c r="F49" s="68" t="str">
        <x:v>[["Ab wheel"]]</x:v>
      </x:c>
      <x:c r="G49" s="68" t="str">
        <x:v>[]</x:v>
      </x:c>
      <x:c r="H49" s="68" t="str">
        <x:v>Core</x:v>
      </x:c>
      <x:c r="I49" s="68" t="str">
        <x:v>Accessory</x:v>
      </x:c>
      <x:c r="J49" s="68" t="str">
        <x:v>Use only if lower back stays neutral.</x:v>
      </x:c>
      <x:c r="K49" s="68" t="str">
        <x:v>No if fatigued</x:v>
      </x:c>
      <x:c r="L49" s="70" t="b">
        <x:v>0</x:v>
      </x:c>
      <x:c r="M49" s="83" t="n">
        <x:v>46222.416666666664</x:v>
      </x:c>
    </x:row>
    <x:row r="50">
      <x:c r="A50" s="67" t="str">
        <x:v>EX049</x:v>
      </x:c>
      <x:c r="B50" s="68" t="str">
        <x:v>Cable crunch</x:v>
      </x:c>
      <x:c r="C50" s="68" t="str">
        <x:v>Abs</x:v>
      </x:c>
      <x:c r="D50" s="68" t="str">
        <x:v>Spinal flexion</x:v>
      </x:c>
      <x:c r="E50" s="68" t="str">
        <x:v>Cable station</x:v>
      </x:c>
      <x:c r="F50" s="68" t="str">
        <x:v>[["Cable station"]]</x:v>
      </x:c>
      <x:c r="G50" s="68" t="str">
        <x:v>[]</x:v>
      </x:c>
      <x:c r="H50" s="68" t="str">
        <x:v>Core</x:v>
      </x:c>
      <x:c r="I50" s="68" t="str">
        <x:v>Substitution</x:v>
      </x:c>
      <x:c r="J50" s="68" t="str">
        <x:v>Controlled range; avoid yanking.</x:v>
      </x:c>
      <x:c r="K50" s="68" t="str">
        <x:v>Yes</x:v>
      </x:c>
      <x:c r="L50" s="70" t="b">
        <x:v>0</x:v>
      </x:c>
      <x:c r="M50" s="83" t="n">
        <x:v>46222.416666666664</x:v>
      </x:c>
    </x:row>
    <x:row r="51">
      <x:c r="A51" s="67" t="str">
        <x:v>EX050</x:v>
      </x:c>
      <x:c r="B51" s="68" t="str">
        <x:v>Brisk walking</x:v>
      </x:c>
      <x:c r="C51" s="68" t="str">
        <x:v>Cardio / Recovery</x:v>
      </x:c>
      <x:c r="D51" s="68" t="str">
        <x:v>Aerobic</x:v>
      </x:c>
      <x:c r="E51" s="68" t="str">
        <x:v>Bodyweight / floor space OR Treadmill</x:v>
      </x:c>
      <x:c r="F51" s="68" t="str">
        <x:v>[["Bodyweight / floor space"],["Treadmill"]]</x:v>
      </x:c>
      <x:c r="G51" s="68" t="str">
        <x:v>["Weighted vest"]</x:v>
      </x:c>
      <x:c r="H51" s="68" t="str">
        <x:v>Cardio</x:v>
      </x:c>
      <x:c r="I51" s="68" t="str">
        <x:v>Recovery</x:v>
      </x:c>
      <x:c r="J51" s="68" t="str">
        <x:v>Easy pace where you can speak in sentences.</x:v>
      </x:c>
      <x:c r="K51" s="68" t="str">
        <x:v>Yes</x:v>
      </x:c>
      <x:c r="L51" s="70" t="b">
        <x:v>0</x:v>
      </x:c>
      <x:c r="M51" s="83" t="n">
        <x:v>46222.416666666664</x:v>
      </x:c>
    </x:row>
    <x:row r="52">
      <x:c r="A52" s="67" t="str">
        <x:v>EX051</x:v>
      </x:c>
      <x:c r="B52" s="68" t="str">
        <x:v>Easy bike</x:v>
      </x:c>
      <x:c r="C52" s="68" t="str">
        <x:v>Cardio / Recovery</x:v>
      </x:c>
      <x:c r="D52" s="68" t="str">
        <x:v>Aerobic</x:v>
      </x:c>
      <x:c r="E52" s="68" t="str">
        <x:v>Exercise bike</x:v>
      </x:c>
      <x:c r="F52" s="68" t="str">
        <x:v>[["Exercise bike"]]</x:v>
      </x:c>
      <x:c r="G52" s="68" t="str">
        <x:v>[]</x:v>
      </x:c>
      <x:c r="H52" s="68" t="str">
        <x:v>Cardio</x:v>
      </x:c>
      <x:c r="I52" s="68" t="str">
        <x:v>Recovery</x:v>
      </x:c>
      <x:c r="J52" s="68" t="str">
        <x:v>Low impact option if available.</x:v>
      </x:c>
      <x:c r="K52" s="68" t="str">
        <x:v>Yes</x:v>
      </x:c>
      <x:c r="L52" s="70" t="b">
        <x:v>0</x:v>
      </x:c>
      <x:c r="M52" s="83" t="n">
        <x:v>46222.416666666664</x:v>
      </x:c>
    </x:row>
    <x:row r="53">
      <x:c r="A53" s="67" t="str">
        <x:v>EX052</x:v>
      </x:c>
      <x:c r="B53" s="68" t="str">
        <x:v>Mobility flow</x:v>
      </x:c>
      <x:c r="C53" s="68" t="str">
        <x:v>Recovery</x:v>
      </x:c>
      <x:c r="D53" s="68" t="str">
        <x:v>Mobility</x:v>
      </x:c>
      <x:c r="E53" s="68" t="str">
        <x:v>Bodyweight / floor space</x:v>
      </x:c>
      <x:c r="F53" s="68" t="str">
        <x:v>[["Bodyweight / floor space"]]</x:v>
      </x:c>
      <x:c r="G53" s="68" t="str">
        <x:v>[]</x:v>
      </x:c>
      <x:c r="H53" s="68" t="str">
        <x:v>Recovery</x:v>
      </x:c>
      <x:c r="I53" s="68" t="str">
        <x:v>Recovery</x:v>
      </x:c>
      <x:c r="J53" s="68" t="str">
        <x:v>5-10 minutes hips, t-spine, ankles.</x:v>
      </x:c>
      <x:c r="K53" s="68" t="str">
        <x:v>Yes</x:v>
      </x:c>
      <x:c r="L53" s="70" t="b">
        <x:v>0</x:v>
      </x:c>
      <x:c r="M53" s="83" t="n">
        <x:v>46222.416666666664</x:v>
      </x:c>
    </x:row>
    <x:row r="54">
      <x:c r="A54" s="67" t="str">
        <x:v>EX053</x:v>
      </x:c>
      <x:c r="B54" s="68" t="str">
        <x:v>Push-up</x:v>
      </x:c>
      <x:c r="C54" s="68" t="str">
        <x:v>Chest / Triceps</x:v>
      </x:c>
      <x:c r="D54" s="68" t="str">
        <x:v>Horizontal press</x:v>
      </x:c>
      <x:c r="E54" s="68" t="str">
        <x:v>Bodyweight / floor space</x:v>
      </x:c>
      <x:c r="F54" s="68" t="str">
        <x:v>[["Bodyweight / floor space"]]</x:v>
      </x:c>
      <x:c r="G54" s="68" t="str">
        <x:v>["Weighted vest","Resistance bands / tubes"]</x:v>
      </x:c>
      <x:c r="H54" s="68" t="str">
        <x:v>Horizontal press</x:v>
      </x:c>
      <x:c r="I54" s="68" t="str">
        <x:v>Substitution</x:v>
      </x:c>
      <x:c r="J54" s="68" t="str">
        <x:v>Use handles or dumbbells as grips if wrists prefer neutral.</x:v>
      </x:c>
      <x:c r="K54" s="68" t="str">
        <x:v>Yes</x:v>
      </x:c>
      <x:c r="L54" s="70" t="b">
        <x:v>0</x:v>
      </x:c>
      <x:c r="M54" s="83" t="n">
        <x:v>46222.65625</x:v>
      </x:c>
    </x:row>
    <x:row r="55">
      <x:c r="A55" s="67" t="str">
        <x:v>EX054</x:v>
      </x:c>
      <x:c r="B55" s="68" t="str">
        <x:v>Feet-elevated push-up</x:v>
      </x:c>
      <x:c r="C55" s="68" t="str">
        <x:v>Upper chest / Triceps</x:v>
      </x:c>
      <x:c r="D55" s="68" t="str">
        <x:v>Incline press</x:v>
      </x:c>
      <x:c r="E55" s="68" t="str">
        <x:v>Bodyweight / floor space + Bench or box</x:v>
      </x:c>
      <x:c r="F55" s="68" t="str">
        <x:v>[["Bodyweight / floor space","Bench or box"]]</x:v>
      </x:c>
      <x:c r="G55" s="68" t="str">
        <x:v>["Weighted vest"]</x:v>
      </x:c>
      <x:c r="H55" s="68" t="str">
        <x:v>Incline press</x:v>
      </x:c>
      <x:c r="I55" s="68" t="str">
        <x:v>Substitution</x:v>
      </x:c>
      <x:c r="J55" s="68" t="str"/>
      <x:c r="K55" s="68" t="str">
        <x:v>Yes</x:v>
      </x:c>
      <x:c r="L55" s="70" t="b">
        <x:v>0</x:v>
      </x:c>
      <x:c r="M55" s="83" t="n">
        <x:v>46222.65625</x:v>
      </x:c>
    </x:row>
    <x:row r="56">
      <x:c r="A56" s="67" t="str">
        <x:v>EX055</x:v>
      </x:c>
      <x:c r="B56" s="68" t="str">
        <x:v>Pike push-up</x:v>
      </x:c>
      <x:c r="C56" s="68" t="str">
        <x:v>Delts / Triceps</x:v>
      </x:c>
      <x:c r="D56" s="68" t="str">
        <x:v>Vertical press</x:v>
      </x:c>
      <x:c r="E56" s="68" t="str">
        <x:v>Bodyweight / floor space</x:v>
      </x:c>
      <x:c r="F56" s="68" t="str">
        <x:v>[["Bodyweight / floor space"]]</x:v>
      </x:c>
      <x:c r="G56" s="68" t="str">
        <x:v>["Bench or box"]</x:v>
      </x:c>
      <x:c r="H56" s="68" t="str">
        <x:v>Vertical press</x:v>
      </x:c>
      <x:c r="I56" s="68" t="str">
        <x:v>Substitution</x:v>
      </x:c>
      <x:c r="J56" s="68" t="str"/>
      <x:c r="K56" s="68" t="str">
        <x:v>Yes</x:v>
      </x:c>
      <x:c r="L56" s="70" t="b">
        <x:v>0</x:v>
      </x:c>
      <x:c r="M56" s="83" t="n">
        <x:v>46222.65625</x:v>
      </x:c>
    </x:row>
    <x:row r="57">
      <x:c r="A57" s="67" t="str">
        <x:v>EX056</x:v>
      </x:c>
      <x:c r="B57" s="68" t="str">
        <x:v>Parallel-bar dip</x:v>
      </x:c>
      <x:c r="C57" s="68" t="str">
        <x:v>Chest / Triceps</x:v>
      </x:c>
      <x:c r="D57" s="68" t="str">
        <x:v>Vertical dip</x:v>
      </x:c>
      <x:c r="E57" s="68" t="str">
        <x:v>Dip station / parallel bars</x:v>
      </x:c>
      <x:c r="F57" s="68" t="str">
        <x:v>[["Dip station / parallel bars"]]</x:v>
      </x:c>
      <x:c r="G57" s="68" t="str">
        <x:v>["Dip belt / loading belt","Resistance bands / tubes"]</x:v>
      </x:c>
      <x:c r="H57" s="68" t="str">
        <x:v>Horizontal press</x:v>
      </x:c>
      <x:c r="I57" s="68" t="str">
        <x:v>Substitution</x:v>
      </x:c>
      <x:c r="J57" s="68" t="str"/>
      <x:c r="K57" s="68" t="str">
        <x:v>Yes</x:v>
      </x:c>
      <x:c r="L57" s="70" t="b">
        <x:v>0</x:v>
      </x:c>
      <x:c r="M57" s="83" t="n">
        <x:v>46222.65625</x:v>
      </x:c>
    </x:row>
    <x:row r="58">
      <x:c r="A58" s="67" t="str">
        <x:v>EX057</x:v>
      </x:c>
      <x:c r="B58" s="68" t="str">
        <x:v>Band-assisted dip</x:v>
      </x:c>
      <x:c r="C58" s="68" t="str">
        <x:v>Chest / Triceps</x:v>
      </x:c>
      <x:c r="D58" s="68" t="str">
        <x:v>Vertical dip</x:v>
      </x:c>
      <x:c r="E58" s="68" t="str">
        <x:v>Dip station / parallel bars + Resistance bands / tubes</x:v>
      </x:c>
      <x:c r="F58" s="68" t="str">
        <x:v>[["Dip station / parallel bars","Resistance bands / tubes"]]</x:v>
      </x:c>
      <x:c r="G58" s="68" t="str">
        <x:v>[]</x:v>
      </x:c>
      <x:c r="H58" s="68" t="str">
        <x:v>Horizontal press</x:v>
      </x:c>
      <x:c r="I58" s="68" t="str">
        <x:v>Substitution</x:v>
      </x:c>
      <x:c r="J58" s="68" t="str"/>
      <x:c r="K58" s="68" t="str">
        <x:v>Yes</x:v>
      </x:c>
      <x:c r="L58" s="70" t="b">
        <x:v>0</x:v>
      </x:c>
      <x:c r="M58" s="83" t="n">
        <x:v>46222.65625</x:v>
      </x:c>
    </x:row>
    <x:row r="59">
      <x:c r="A59" s="67" t="str">
        <x:v>EX058</x:v>
      </x:c>
      <x:c r="B59" s="68" t="str">
        <x:v>Low-bar back squat</x:v>
      </x:c>
      <x:c r="C59" s="68" t="str">
        <x:v>Quads / Glutes</x:v>
      </x:c>
      <x:c r="D59" s="68" t="str">
        <x:v>Squat</x:v>
      </x:c>
      <x:c r="E59" s="68" t="str">
        <x:v>Power rack / squat stands + Barbell + plates</x:v>
      </x:c>
      <x:c r="F59" s="68" t="str">
        <x:v>[["Power rack / squat stands","Barbell + plates"]]</x:v>
      </x:c>
      <x:c r="G59" s="68" t="str">
        <x:v>[]</x:v>
      </x:c>
      <x:c r="H59" s="68" t="str">
        <x:v>Squat</x:v>
      </x:c>
      <x:c r="I59" s="68" t="str">
        <x:v>Main lift</x:v>
      </x:c>
      <x:c r="J59" s="68" t="str">
        <x:v>Use only if shoulder position and technique are comfortable.</x:v>
      </x:c>
      <x:c r="K59" s="68" t="str">
        <x:v>Yes</x:v>
      </x:c>
      <x:c r="L59" s="70" t="b">
        <x:v>0</x:v>
      </x:c>
      <x:c r="M59" s="83" t="n">
        <x:v>46222.65625</x:v>
      </x:c>
    </x:row>
    <x:row r="60">
      <x:c r="A60" s="67" t="str">
        <x:v>EX059</x:v>
      </x:c>
      <x:c r="B60" s="68" t="str">
        <x:v>Safety-bar squat</x:v>
      </x:c>
      <x:c r="C60" s="68" t="str">
        <x:v>Quads / Glutes</x:v>
      </x:c>
      <x:c r="D60" s="68" t="str">
        <x:v>Squat</x:v>
      </x:c>
      <x:c r="E60" s="68" t="str">
        <x:v>Power rack / squat stands + Safety squat bar</x:v>
      </x:c>
      <x:c r="F60" s="68" t="str">
        <x:v>[["Power rack / squat stands","Safety squat bar"]]</x:v>
      </x:c>
      <x:c r="G60" s="68" t="str">
        <x:v>[]</x:v>
      </x:c>
      <x:c r="H60" s="68" t="str">
        <x:v>Squat</x:v>
      </x:c>
      <x:c r="I60" s="68" t="str">
        <x:v>Main lift</x:v>
      </x:c>
      <x:c r="J60" s="68" t="str">
        <x:v>Often easier on shoulders and upper back.</x:v>
      </x:c>
      <x:c r="K60" s="68" t="str">
        <x:v>Yes</x:v>
      </x:c>
      <x:c r="L60" s="70" t="b">
        <x:v>0</x:v>
      </x:c>
      <x:c r="M60" s="83" t="n">
        <x:v>46222.65625</x:v>
      </x:c>
    </x:row>
    <x:row r="61">
      <x:c r="A61" s="67" t="str">
        <x:v>EX060</x:v>
      </x:c>
      <x:c r="B61" s="68" t="str">
        <x:v>Smith-machine squat</x:v>
      </x:c>
      <x:c r="C61" s="68" t="str">
        <x:v>Quads / Glutes</x:v>
      </x:c>
      <x:c r="D61" s="68" t="str">
        <x:v>Squat</x:v>
      </x:c>
      <x:c r="E61" s="68" t="str">
        <x:v>Smith machine</x:v>
      </x:c>
      <x:c r="F61" s="68" t="str">
        <x:v>[["Smith machine"]]</x:v>
      </x:c>
      <x:c r="G61" s="68" t="str">
        <x:v>[]</x:v>
      </x:c>
      <x:c r="H61" s="68" t="str">
        <x:v>Squat</x:v>
      </x:c>
      <x:c r="I61" s="68" t="str">
        <x:v>Main lift</x:v>
      </x:c>
      <x:c r="J61" s="68" t="str">
        <x:v>Choose a foot position that keeps the movement comfortable.</x:v>
      </x:c>
      <x:c r="K61" s="68" t="str">
        <x:v>Yes</x:v>
      </x:c>
      <x:c r="L61" s="70" t="b">
        <x:v>0</x:v>
      </x:c>
      <x:c r="M61" s="83" t="n">
        <x:v>46222.65625</x:v>
      </x:c>
    </x:row>
    <x:row r="62">
      <x:c r="A62" s="67" t="str">
        <x:v>EX061</x:v>
      </x:c>
      <x:c r="B62" s="68" t="str">
        <x:v>Landmine squat</x:v>
      </x:c>
      <x:c r="C62" s="68" t="str">
        <x:v>Quads / Glutes</x:v>
      </x:c>
      <x:c r="D62" s="68" t="str">
        <x:v>Squat</x:v>
      </x:c>
      <x:c r="E62" s="68" t="str">
        <x:v>Barbell + plates + Landmine attachment</x:v>
      </x:c>
      <x:c r="F62" s="68" t="str">
        <x:v>[["Barbell + plates","Landmine attachment"]]</x:v>
      </x:c>
      <x:c r="G62" s="68" t="str">
        <x:v>[]</x:v>
      </x:c>
      <x:c r="H62" s="68" t="str">
        <x:v>Squat</x:v>
      </x:c>
      <x:c r="I62" s="68" t="str">
        <x:v>Substitution</x:v>
      </x:c>
      <x:c r="J62" s="68" t="str">
        <x:v>Stable front-loaded squat option.</x:v>
      </x:c>
      <x:c r="K62" s="68" t="str">
        <x:v>Yes</x:v>
      </x:c>
      <x:c r="L62" s="70" t="b">
        <x:v>0</x:v>
      </x:c>
      <x:c r="M62" s="83" t="n">
        <x:v>46222.65625</x:v>
      </x:c>
    </x:row>
    <x:row r="63">
      <x:c r="A63" s="67" t="str">
        <x:v>EX062</x:v>
      </x:c>
      <x:c r="B63" s="68" t="str">
        <x:v>Leg press</x:v>
      </x:c>
      <x:c r="C63" s="68" t="str">
        <x:v>Quads / Glutes</x:v>
      </x:c>
      <x:c r="D63" s="68" t="str">
        <x:v>Squat</x:v>
      </x:c>
      <x:c r="E63" s="68" t="str">
        <x:v>Leg press / hack squat</x:v>
      </x:c>
      <x:c r="F63" s="68" t="str">
        <x:v>[["Leg press / hack squat"]]</x:v>
      </x:c>
      <x:c r="G63" s="68" t="str">
        <x:v>[]</x:v>
      </x:c>
      <x:c r="H63" s="68" t="str">
        <x:v>Squat</x:v>
      </x:c>
      <x:c r="I63" s="68" t="str">
        <x:v>Main lift</x:v>
      </x:c>
      <x:c r="J63" s="68" t="str">
        <x:v>Use controlled depth and avoid pelvis rolling.</x:v>
      </x:c>
      <x:c r="K63" s="68" t="str">
        <x:v>Yes</x:v>
      </x:c>
      <x:c r="L63" s="70" t="b">
        <x:v>0</x:v>
      </x:c>
      <x:c r="M63" s="83" t="n">
        <x:v>46222.65625</x:v>
      </x:c>
    </x:row>
    <x:row r="64">
      <x:c r="A64" s="67" t="str">
        <x:v>EX063</x:v>
      </x:c>
      <x:c r="B64" s="68" t="str">
        <x:v>Hack squat</x:v>
      </x:c>
      <x:c r="C64" s="68" t="str">
        <x:v>Quads / Glutes</x:v>
      </x:c>
      <x:c r="D64" s="68" t="str">
        <x:v>Squat</x:v>
      </x:c>
      <x:c r="E64" s="68" t="str">
        <x:v>Leg press / hack squat</x:v>
      </x:c>
      <x:c r="F64" s="68" t="str">
        <x:v>[["Leg press / hack squat"]]</x:v>
      </x:c>
      <x:c r="G64" s="68" t="str">
        <x:v>[]</x:v>
      </x:c>
      <x:c r="H64" s="68" t="str">
        <x:v>Squat</x:v>
      </x:c>
      <x:c r="I64" s="68" t="str">
        <x:v>Main lift</x:v>
      </x:c>
      <x:c r="J64" s="68" t="str">
        <x:v>Quad-biased machine squat.</x:v>
      </x:c>
      <x:c r="K64" s="68" t="str">
        <x:v>Yes</x:v>
      </x:c>
      <x:c r="L64" s="70" t="b">
        <x:v>0</x:v>
      </x:c>
      <x:c r="M64" s="83" t="n">
        <x:v>46222.65625</x:v>
      </x:c>
    </x:row>
    <x:row r="65">
      <x:c r="A65" s="67" t="str">
        <x:v>EX064</x:v>
      </x:c>
      <x:c r="B65" s="68" t="str">
        <x:v>Leg extension</x:v>
      </x:c>
      <x:c r="C65" s="68" t="str">
        <x:v>Quads</x:v>
      </x:c>
      <x:c r="D65" s="68" t="str">
        <x:v>Knee extension</x:v>
      </x:c>
      <x:c r="E65" s="68" t="str">
        <x:v>Leg extension machine</x:v>
      </x:c>
      <x:c r="F65" s="68" t="str">
        <x:v>[["Leg extension machine"]]</x:v>
      </x:c>
      <x:c r="G65" s="68" t="str">
        <x:v>[]</x:v>
      </x:c>
      <x:c r="H65" s="68" t="str">
        <x:v>Quads</x:v>
      </x:c>
      <x:c r="I65" s="68" t="str">
        <x:v>Isolation</x:v>
      </x:c>
      <x:c r="J65" s="68" t="str">
        <x:v>Control the top and lower without bouncing.</x:v>
      </x:c>
      <x:c r="K65" s="68" t="str">
        <x:v>Maybe</x:v>
      </x:c>
      <x:c r="L65" s="70" t="b">
        <x:v>0</x:v>
      </x:c>
      <x:c r="M65" s="83" t="n">
        <x:v>46222.65625</x:v>
      </x:c>
    </x:row>
    <x:row r="66">
      <x:c r="A66" s="67" t="str">
        <x:v>EX065</x:v>
      </x:c>
      <x:c r="B66" s="68" t="str">
        <x:v>Step-up</x:v>
      </x:c>
      <x:c r="C66" s="68" t="str">
        <x:v>Quads / Glutes</x:v>
      </x:c>
      <x:c r="D66" s="68" t="str">
        <x:v>Single-leg</x:v>
      </x:c>
      <x:c r="E66" s="68" t="str">
        <x:v>Bench or box</x:v>
      </x:c>
      <x:c r="F66" s="68" t="str">
        <x:v>[["Bench or box"]]</x:v>
      </x:c>
      <x:c r="G66" s="68" t="str">
        <x:v>["Dumbbells","Kettlebells"]</x:v>
      </x:c>
      <x:c r="H66" s="68" t="str">
        <x:v>Single-leg</x:v>
      </x:c>
      <x:c r="I66" s="68" t="str">
        <x:v>Substitution</x:v>
      </x:c>
      <x:c r="J66" s="68" t="str"/>
      <x:c r="K66" s="68" t="str">
        <x:v>Yes</x:v>
      </x:c>
      <x:c r="L66" s="70" t="b">
        <x:v>0</x:v>
      </x:c>
      <x:c r="M66" s="83" t="n">
        <x:v>46222.65625</x:v>
      </x:c>
    </x:row>
    <x:row r="67">
      <x:c r="A67" s="67" t="str">
        <x:v>EX066</x:v>
      </x:c>
      <x:c r="B67" s="68" t="str">
        <x:v>Walking lunge</x:v>
      </x:c>
      <x:c r="C67" s="68" t="str">
        <x:v>Quads / Glutes</x:v>
      </x:c>
      <x:c r="D67" s="68" t="str">
        <x:v>Single-leg</x:v>
      </x:c>
      <x:c r="E67" s="68" t="str">
        <x:v>Bodyweight / floor space</x:v>
      </x:c>
      <x:c r="F67" s="68" t="str">
        <x:v>[["Bodyweight / floor space"]]</x:v>
      </x:c>
      <x:c r="G67" s="68" t="str">
        <x:v>["Dumbbells","Kettlebells","Weighted vest"]</x:v>
      </x:c>
      <x:c r="H67" s="68" t="str">
        <x:v>Single-leg</x:v>
      </x:c>
      <x:c r="I67" s="68" t="str">
        <x:v>Substitution</x:v>
      </x:c>
      <x:c r="J67" s="68" t="str"/>
      <x:c r="K67" s="68" t="str">
        <x:v>Yes</x:v>
      </x:c>
      <x:c r="L67" s="70" t="b">
        <x:v>0</x:v>
      </x:c>
      <x:c r="M67" s="83" t="n">
        <x:v>46222.65625</x:v>
      </x:c>
    </x:row>
    <x:row r="68">
      <x:c r="A68" s="67" t="str">
        <x:v>EX067</x:v>
      </x:c>
      <x:c r="B68" s="68" t="str">
        <x:v>Bodyweight split squat</x:v>
      </x:c>
      <x:c r="C68" s="68" t="str">
        <x:v>Quads / Glutes</x:v>
      </x:c>
      <x:c r="D68" s="68" t="str">
        <x:v>Single-leg</x:v>
      </x:c>
      <x:c r="E68" s="68" t="str">
        <x:v>Bodyweight / floor space</x:v>
      </x:c>
      <x:c r="F68" s="68" t="str">
        <x:v>[["Bodyweight / floor space"]]</x:v>
      </x:c>
      <x:c r="G68" s="68" t="str">
        <x:v>["Dumbbells","Weighted vest"]</x:v>
      </x:c>
      <x:c r="H68" s="68" t="str">
        <x:v>Single-leg</x:v>
      </x:c>
      <x:c r="I68" s="68" t="str">
        <x:v>Substitution</x:v>
      </x:c>
      <x:c r="J68" s="68" t="str"/>
      <x:c r="K68" s="68" t="str">
        <x:v>Yes</x:v>
      </x:c>
      <x:c r="L68" s="70" t="b">
        <x:v>0</x:v>
      </x:c>
      <x:c r="M68" s="83" t="n">
        <x:v>46222.65625</x:v>
      </x:c>
    </x:row>
    <x:row r="69">
      <x:c r="A69" s="67" t="str">
        <x:v>EX068</x:v>
      </x:c>
      <x:c r="B69" s="68" t="str">
        <x:v>Conventional deadlift</x:v>
      </x:c>
      <x:c r="C69" s="68" t="str">
        <x:v>Hamstrings / Glutes / Back</x:v>
      </x:c>
      <x:c r="D69" s="68" t="str">
        <x:v>Hip hinge</x:v>
      </x:c>
      <x:c r="E69" s="68" t="str">
        <x:v>Barbell + plates</x:v>
      </x:c>
      <x:c r="F69" s="68" t="str">
        <x:v>[["Barbell + plates"]]</x:v>
      </x:c>
      <x:c r="G69" s="68" t="str">
        <x:v>[]</x:v>
      </x:c>
      <x:c r="H69" s="68" t="str">
        <x:v>Hip hinge</x:v>
      </x:c>
      <x:c r="I69" s="68" t="str">
        <x:v>Main lift</x:v>
      </x:c>
      <x:c r="J69" s="68" t="str">
        <x:v>Use only when technique and recovery support it.</x:v>
      </x:c>
      <x:c r="K69" s="68" t="str">
        <x:v>Maybe</x:v>
      </x:c>
      <x:c r="L69" s="70" t="b">
        <x:v>0</x:v>
      </x:c>
      <x:c r="M69" s="83" t="n">
        <x:v>46222.65625</x:v>
      </x:c>
    </x:row>
    <x:row r="70">
      <x:c r="A70" s="67" t="str">
        <x:v>EX069</x:v>
      </x:c>
      <x:c r="B70" s="68" t="str">
        <x:v>Sumo deadlift</x:v>
      </x:c>
      <x:c r="C70" s="68" t="str">
        <x:v>Glutes / Hamstrings / Adductors</x:v>
      </x:c>
      <x:c r="D70" s="68" t="str">
        <x:v>Hip hinge</x:v>
      </x:c>
      <x:c r="E70" s="68" t="str">
        <x:v>Barbell + plates</x:v>
      </x:c>
      <x:c r="F70" s="68" t="str">
        <x:v>[["Barbell + plates"]]</x:v>
      </x:c>
      <x:c r="G70" s="68" t="str">
        <x:v>[]</x:v>
      </x:c>
      <x:c r="H70" s="68" t="str">
        <x:v>Hip hinge</x:v>
      </x:c>
      <x:c r="I70" s="68" t="str">
        <x:v>Main lift</x:v>
      </x:c>
      <x:c r="J70" s="68" t="str">
        <x:v>Choose stance based on comfort and proportions.</x:v>
      </x:c>
      <x:c r="K70" s="68" t="str">
        <x:v>Maybe</x:v>
      </x:c>
      <x:c r="L70" s="70" t="b">
        <x:v>0</x:v>
      </x:c>
      <x:c r="M70" s="83" t="n">
        <x:v>46222.65625</x:v>
      </x:c>
    </x:row>
    <x:row r="71">
      <x:c r="A71" s="67" t="str">
        <x:v>EX070</x:v>
      </x:c>
      <x:c r="B71" s="68" t="str">
        <x:v>Trap-bar deadlift</x:v>
      </x:c>
      <x:c r="C71" s="68" t="str">
        <x:v>Quads / Glutes / Hamstrings</x:v>
      </x:c>
      <x:c r="D71" s="68" t="str">
        <x:v>Hip hinge</x:v>
      </x:c>
      <x:c r="E71" s="68" t="str">
        <x:v>Trap / hex bar + Barbell plates</x:v>
      </x:c>
      <x:c r="F71" s="68" t="str">
        <x:v>[["Trap / hex bar","Barbell plates"]]</x:v>
      </x:c>
      <x:c r="G71" s="68" t="str">
        <x:v>[]</x:v>
      </x:c>
      <x:c r="H71" s="68" t="str">
        <x:v>Hip hinge</x:v>
      </x:c>
      <x:c r="I71" s="68" t="str">
        <x:v>Main lift</x:v>
      </x:c>
      <x:c r="J71" s="68" t="str">
        <x:v>Often easier to keep the load close to the body.</x:v>
      </x:c>
      <x:c r="K71" s="68" t="str">
        <x:v>Yes</x:v>
      </x:c>
      <x:c r="L71" s="70" t="b">
        <x:v>0</x:v>
      </x:c>
      <x:c r="M71" s="83" t="n">
        <x:v>46222.65625</x:v>
      </x:c>
    </x:row>
    <x:row r="72">
      <x:c r="A72" s="67" t="str">
        <x:v>EX071</x:v>
      </x:c>
      <x:c r="B72" s="68" t="str">
        <x:v>Rack pull</x:v>
      </x:c>
      <x:c r="C72" s="68" t="str">
        <x:v>Glutes / Back</x:v>
      </x:c>
      <x:c r="D72" s="68" t="str">
        <x:v>Hip hinge</x:v>
      </x:c>
      <x:c r="E72" s="68" t="str">
        <x:v>Power rack / squat stands + Barbell + plates</x:v>
      </x:c>
      <x:c r="F72" s="68" t="str">
        <x:v>[["Power rack / squat stands","Barbell + plates"]]</x:v>
      </x:c>
      <x:c r="G72" s="68" t="str">
        <x:v>[]</x:v>
      </x:c>
      <x:c r="H72" s="68" t="str">
        <x:v>Hip hinge</x:v>
      </x:c>
      <x:c r="I72" s="68" t="str">
        <x:v>Main lift</x:v>
      </x:c>
      <x:c r="J72" s="68" t="str">
        <x:v>Use sparingly; high loading can be fatiguing.</x:v>
      </x:c>
      <x:c r="K72" s="68" t="str">
        <x:v>Maybe</x:v>
      </x:c>
      <x:c r="L72" s="70" t="b">
        <x:v>0</x:v>
      </x:c>
      <x:c r="M72" s="83" t="n">
        <x:v>46222.65625</x:v>
      </x:c>
    </x:row>
    <x:row r="73">
      <x:c r="A73" s="67" t="str">
        <x:v>EX072</x:v>
      </x:c>
      <x:c r="B73" s="68" t="str">
        <x:v>Good morning</x:v>
      </x:c>
      <x:c r="C73" s="68" t="str">
        <x:v>Hamstrings / Glutes</x:v>
      </x:c>
      <x:c r="D73" s="68" t="str">
        <x:v>Hip hinge</x:v>
      </x:c>
      <x:c r="E73" s="68" t="str">
        <x:v>Power rack / squat stands + Barbell + plates</x:v>
      </x:c>
      <x:c r="F73" s="68" t="str">
        <x:v>[["Power rack / squat stands","Barbell + plates"]]</x:v>
      </x:c>
      <x:c r="G73" s="68" t="str">
        <x:v>[]</x:v>
      </x:c>
      <x:c r="H73" s="68" t="str">
        <x:v>Hip hinge</x:v>
      </x:c>
      <x:c r="I73" s="68" t="str">
        <x:v>Substitution</x:v>
      </x:c>
      <x:c r="J73" s="68" t="str">
        <x:v>Light, controlled hinge; not a max-load movement.</x:v>
      </x:c>
      <x:c r="K73" s="68" t="str">
        <x:v>Maybe</x:v>
      </x:c>
      <x:c r="L73" s="70" t="b">
        <x:v>0</x:v>
      </x:c>
      <x:c r="M73" s="83" t="n">
        <x:v>46222.65625</x:v>
      </x:c>
    </x:row>
    <x:row r="74">
      <x:c r="A74" s="67" t="str">
        <x:v>EX073</x:v>
      </x:c>
      <x:c r="B74" s="68" t="str">
        <x:v>Kettlebell Romanian deadlift</x:v>
      </x:c>
      <x:c r="C74" s="68" t="str">
        <x:v>Hamstrings / Glutes</x:v>
      </x:c>
      <x:c r="D74" s="68" t="str">
        <x:v>Hip hinge</x:v>
      </x:c>
      <x:c r="E74" s="68" t="str">
        <x:v>Kettlebells</x:v>
      </x:c>
      <x:c r="F74" s="68" t="str">
        <x:v>[["Kettlebells"]]</x:v>
      </x:c>
      <x:c r="G74" s="68" t="str">
        <x:v>[]</x:v>
      </x:c>
      <x:c r="H74" s="68" t="str">
        <x:v>Hip hinge</x:v>
      </x:c>
      <x:c r="I74" s="68" t="str">
        <x:v>Substitution</x:v>
      </x:c>
      <x:c r="J74" s="68" t="str"/>
      <x:c r="K74" s="68" t="str">
        <x:v>Yes</x:v>
      </x:c>
      <x:c r="L74" s="70" t="b">
        <x:v>0</x:v>
      </x:c>
      <x:c r="M74" s="83" t="n">
        <x:v>46222.65625</x:v>
      </x:c>
    </x:row>
    <x:row r="75">
      <x:c r="A75" s="67" t="str">
        <x:v>EX074</x:v>
      </x:c>
      <x:c r="B75" s="68" t="str">
        <x:v>Kettlebell swing</x:v>
      </x:c>
      <x:c r="C75" s="68" t="str">
        <x:v>Glutes / Conditioning</x:v>
      </x:c>
      <x:c r="D75" s="68" t="str">
        <x:v>Ballistic hinge</x:v>
      </x:c>
      <x:c r="E75" s="68" t="str">
        <x:v>Kettlebells</x:v>
      </x:c>
      <x:c r="F75" s="68" t="str">
        <x:v>[["Kettlebells"]]</x:v>
      </x:c>
      <x:c r="G75" s="68" t="str">
        <x:v>[]</x:v>
      </x:c>
      <x:c r="H75" s="68" t="str">
        <x:v>Conditioning</x:v>
      </x:c>
      <x:c r="I75" s="68" t="str">
        <x:v>Conditioning</x:v>
      </x:c>
      <x:c r="J75" s="68" t="str">
        <x:v>Use only with established hinge technique.</x:v>
      </x:c>
      <x:c r="K75" s="68" t="str">
        <x:v>Maybe</x:v>
      </x:c>
      <x:c r="L75" s="70" t="b">
        <x:v>0</x:v>
      </x:c>
      <x:c r="M75" s="83" t="n">
        <x:v>46222.65625</x:v>
      </x:c>
    </x:row>
    <x:row r="76">
      <x:c r="A76" s="67" t="str">
        <x:v>EX075</x:v>
      </x:c>
      <x:c r="B76" s="68" t="str">
        <x:v>Dumbbell hip thrust</x:v>
      </x:c>
      <x:c r="C76" s="68" t="str">
        <x:v>Glutes / Hamstrings</x:v>
      </x:c>
      <x:c r="D76" s="68" t="str">
        <x:v>Hip extension</x:v>
      </x:c>
      <x:c r="E76" s="68" t="str">
        <x:v>Dumbbells + Bench</x:v>
      </x:c>
      <x:c r="F76" s="68" t="str">
        <x:v>[["Dumbbells","Bench"]]</x:v>
      </x:c>
      <x:c r="G76" s="68" t="str">
        <x:v>[]</x:v>
      </x:c>
      <x:c r="H76" s="68" t="str">
        <x:v>Hip extension</x:v>
      </x:c>
      <x:c r="I76" s="68" t="str">
        <x:v>Substitution</x:v>
      </x:c>
      <x:c r="J76" s="68" t="str"/>
      <x:c r="K76" s="68" t="str">
        <x:v>Yes</x:v>
      </x:c>
      <x:c r="L76" s="70" t="b">
        <x:v>0</x:v>
      </x:c>
      <x:c r="M76" s="83" t="n">
        <x:v>46222.65625</x:v>
      </x:c>
    </x:row>
    <x:row r="77">
      <x:c r="A77" s="67" t="str">
        <x:v>EX076</x:v>
      </x:c>
      <x:c r="B77" s="68" t="str">
        <x:v>Glute bridge</x:v>
      </x:c>
      <x:c r="C77" s="68" t="str">
        <x:v>Glutes / Hamstrings</x:v>
      </x:c>
      <x:c r="D77" s="68" t="str">
        <x:v>Hip extension</x:v>
      </x:c>
      <x:c r="E77" s="68" t="str">
        <x:v>Bodyweight / floor space</x:v>
      </x:c>
      <x:c r="F77" s="68" t="str">
        <x:v>[["Bodyweight / floor space"]]</x:v>
      </x:c>
      <x:c r="G77" s="68" t="str">
        <x:v>["Dumbbells","Barbell + plates","Resistance bands / tubes"]</x:v>
      </x:c>
      <x:c r="H77" s="68" t="str">
        <x:v>Hip extension</x:v>
      </x:c>
      <x:c r="I77" s="68" t="str">
        <x:v>Substitution</x:v>
      </x:c>
      <x:c r="J77" s="68" t="str"/>
      <x:c r="K77" s="68" t="str">
        <x:v>Yes</x:v>
      </x:c>
      <x:c r="L77" s="70" t="b">
        <x:v>0</x:v>
      </x:c>
      <x:c r="M77" s="83" t="n">
        <x:v>46222.65625</x:v>
      </x:c>
    </x:row>
    <x:row r="78">
      <x:c r="A78" s="67" t="str">
        <x:v>EX077</x:v>
      </x:c>
      <x:c r="B78" s="68" t="str">
        <x:v>Seated leg curl</x:v>
      </x:c>
      <x:c r="C78" s="68" t="str">
        <x:v>Hamstrings</x:v>
      </x:c>
      <x:c r="D78" s="68" t="str">
        <x:v>Knee flexion</x:v>
      </x:c>
      <x:c r="E78" s="68" t="str">
        <x:v>Leg curl machine</x:v>
      </x:c>
      <x:c r="F78" s="68" t="str">
        <x:v>[["Leg curl machine"]]</x:v>
      </x:c>
      <x:c r="G78" s="68" t="str">
        <x:v>[]</x:v>
      </x:c>
      <x:c r="H78" s="68" t="str">
        <x:v>Knee flexion</x:v>
      </x:c>
      <x:c r="I78" s="68" t="str">
        <x:v>Isolation</x:v>
      </x:c>
      <x:c r="J78" s="68" t="str"/>
      <x:c r="K78" s="68" t="str">
        <x:v>Yes</x:v>
      </x:c>
      <x:c r="L78" s="70" t="b">
        <x:v>0</x:v>
      </x:c>
      <x:c r="M78" s="83" t="n">
        <x:v>46222.65625</x:v>
      </x:c>
    </x:row>
    <x:row r="79">
      <x:c r="A79" s="67" t="str">
        <x:v>EX078</x:v>
      </x:c>
      <x:c r="B79" s="68" t="str">
        <x:v>Lying leg curl</x:v>
      </x:c>
      <x:c r="C79" s="68" t="str">
        <x:v>Hamstrings</x:v>
      </x:c>
      <x:c r="D79" s="68" t="str">
        <x:v>Knee flexion</x:v>
      </x:c>
      <x:c r="E79" s="68" t="str">
        <x:v>Leg curl machine</x:v>
      </x:c>
      <x:c r="F79" s="68" t="str">
        <x:v>[["Leg curl machine"]]</x:v>
      </x:c>
      <x:c r="G79" s="68" t="str">
        <x:v>[]</x:v>
      </x:c>
      <x:c r="H79" s="68" t="str">
        <x:v>Knee flexion</x:v>
      </x:c>
      <x:c r="I79" s="68" t="str">
        <x:v>Isolation</x:v>
      </x:c>
      <x:c r="J79" s="68" t="str"/>
      <x:c r="K79" s="68" t="str">
        <x:v>Yes</x:v>
      </x:c>
      <x:c r="L79" s="70" t="b">
        <x:v>0</x:v>
      </x:c>
      <x:c r="M79" s="83" t="n">
        <x:v>46222.65625</x:v>
      </x:c>
    </x:row>
    <x:row r="80">
      <x:c r="A80" s="67" t="str">
        <x:v>EX079</x:v>
      </x:c>
      <x:c r="B80" s="68" t="str">
        <x:v>Banded leg curl</x:v>
      </x:c>
      <x:c r="C80" s="68" t="str">
        <x:v>Hamstrings</x:v>
      </x:c>
      <x:c r="D80" s="68" t="str">
        <x:v>Knee flexion</x:v>
      </x:c>
      <x:c r="E80" s="68" t="str">
        <x:v>Resistance bands / tubes + Secure band anchor</x:v>
      </x:c>
      <x:c r="F80" s="68" t="str">
        <x:v>[["Resistance bands / tubes","Secure band anchor"]]</x:v>
      </x:c>
      <x:c r="G80" s="68" t="str">
        <x:v>[]</x:v>
      </x:c>
      <x:c r="H80" s="68" t="str">
        <x:v>Knee flexion</x:v>
      </x:c>
      <x:c r="I80" s="68" t="str">
        <x:v>Isolation</x:v>
      </x:c>
      <x:c r="J80" s="68" t="str"/>
      <x:c r="K80" s="68" t="str">
        <x:v>Yes</x:v>
      </x:c>
      <x:c r="L80" s="70" t="b">
        <x:v>0</x:v>
      </x:c>
      <x:c r="M80" s="83" t="n">
        <x:v>46222.65625</x:v>
      </x:c>
    </x:row>
    <x:row r="81">
      <x:c r="A81" s="67" t="str">
        <x:v>EX080</x:v>
      </x:c>
      <x:c r="B81" s="68" t="str">
        <x:v>Stability-ball leg curl</x:v>
      </x:c>
      <x:c r="C81" s="68" t="str">
        <x:v>Hamstrings / Glutes</x:v>
      </x:c>
      <x:c r="D81" s="68" t="str">
        <x:v>Knee flexion</x:v>
      </x:c>
      <x:c r="E81" s="68" t="str">
        <x:v>Stability ball</x:v>
      </x:c>
      <x:c r="F81" s="68" t="str">
        <x:v>[["Stability ball"]]</x:v>
      </x:c>
      <x:c r="G81" s="68" t="str">
        <x:v>[]</x:v>
      </x:c>
      <x:c r="H81" s="68" t="str">
        <x:v>Knee flexion</x:v>
      </x:c>
      <x:c r="I81" s="68" t="str">
        <x:v>Substitution</x:v>
      </x:c>
      <x:c r="J81" s="68" t="str"/>
      <x:c r="K81" s="68" t="str">
        <x:v>Yes</x:v>
      </x:c>
      <x:c r="L81" s="70" t="b">
        <x:v>0</x:v>
      </x:c>
      <x:c r="M81" s="83" t="n">
        <x:v>46222.65625</x:v>
      </x:c>
    </x:row>
    <x:row r="82">
      <x:c r="A82" s="67" t="str">
        <x:v>EX081</x:v>
      </x:c>
      <x:c r="B82" s="68" t="str">
        <x:v>Nordic hamstring curl</x:v>
      </x:c>
      <x:c r="C82" s="68" t="str">
        <x:v>Hamstrings</x:v>
      </x:c>
      <x:c r="D82" s="68" t="str">
        <x:v>Knee flexion</x:v>
      </x:c>
      <x:c r="E82" s="68" t="str">
        <x:v>Glute-ham developer / Nordic bench</x:v>
      </x:c>
      <x:c r="F82" s="68" t="str">
        <x:v>[["Glute-ham developer / Nordic bench"]]</x:v>
      </x:c>
      <x:c r="G82" s="68" t="str">
        <x:v>[]</x:v>
      </x:c>
      <x:c r="H82" s="68" t="str">
        <x:v>Knee flexion</x:v>
      </x:c>
      <x:c r="I82" s="68" t="str">
        <x:v>Advanced</x:v>
      </x:c>
      <x:c r="J82" s="68" t="str">
        <x:v>Use assistance and a controlled eccentric.</x:v>
      </x:c>
      <x:c r="K82" s="68" t="str">
        <x:v>Maybe</x:v>
      </x:c>
      <x:c r="L82" s="70" t="b">
        <x:v>0</x:v>
      </x:c>
      <x:c r="M82" s="83" t="n">
        <x:v>46222.65625</x:v>
      </x:c>
    </x:row>
    <x:row r="83">
      <x:c r="A83" s="67" t="str">
        <x:v>EX082</x:v>
      </x:c>
      <x:c r="B83" s="68" t="str">
        <x:v>Glute-ham raise</x:v>
      </x:c>
      <x:c r="C83" s="68" t="str">
        <x:v>Hamstrings / Glutes</x:v>
      </x:c>
      <x:c r="D83" s="68" t="str">
        <x:v>Knee flexion</x:v>
      </x:c>
      <x:c r="E83" s="68" t="str">
        <x:v>Glute-ham developer / Nordic bench</x:v>
      </x:c>
      <x:c r="F83" s="68" t="str">
        <x:v>[["Glute-ham developer / Nordic bench"]]</x:v>
      </x:c>
      <x:c r="G83" s="68" t="str">
        <x:v>[]</x:v>
      </x:c>
      <x:c r="H83" s="68" t="str">
        <x:v>Knee flexion</x:v>
      </x:c>
      <x:c r="I83" s="68" t="str">
        <x:v>Advanced</x:v>
      </x:c>
      <x:c r="J83" s="68" t="str">
        <x:v>Scale range of motion as needed.</x:v>
      </x:c>
      <x:c r="K83" s="68" t="str">
        <x:v>Maybe</x:v>
      </x:c>
      <x:c r="L83" s="70" t="b">
        <x:v>0</x:v>
      </x:c>
      <x:c r="M83" s="83" t="n">
        <x:v>46222.65625</x:v>
      </x:c>
    </x:row>
    <x:row r="84">
      <x:c r="A84" s="67" t="str">
        <x:v>EX083</x:v>
      </x:c>
      <x:c r="B84" s="68" t="str">
        <x:v>Seated calf raise</x:v>
      </x:c>
      <x:c r="C84" s="68" t="str">
        <x:v>Soleus / Calves</x:v>
      </x:c>
      <x:c r="D84" s="68" t="str">
        <x:v>Calf raise</x:v>
      </x:c>
      <x:c r="E84" s="68" t="str">
        <x:v>Calf raise platform / machine OR Bench + Dumbbells</x:v>
      </x:c>
      <x:c r="F84" s="68" t="str">
        <x:v>[["Calf raise platform / machine"],["Bench","Dumbbells"]]</x:v>
      </x:c>
      <x:c r="G84" s="68" t="str">
        <x:v>[]</x:v>
      </x:c>
      <x:c r="H84" s="68" t="str">
        <x:v>Calf raise</x:v>
      </x:c>
      <x:c r="I84" s="68" t="str">
        <x:v>Isolation</x:v>
      </x:c>
      <x:c r="J84" s="68" t="str"/>
      <x:c r="K84" s="68" t="str">
        <x:v>Yes</x:v>
      </x:c>
      <x:c r="L84" s="70" t="b">
        <x:v>0</x:v>
      </x:c>
      <x:c r="M84" s="83" t="n">
        <x:v>46222.65625</x:v>
      </x:c>
    </x:row>
    <x:row r="85">
      <x:c r="A85" s="67" t="str">
        <x:v>EX084</x:v>
      </x:c>
      <x:c r="B85" s="68" t="str">
        <x:v>Single-leg calf raise</x:v>
      </x:c>
      <x:c r="C85" s="68" t="str">
        <x:v>Calves</x:v>
      </x:c>
      <x:c r="D85" s="68" t="str">
        <x:v>Calf raise</x:v>
      </x:c>
      <x:c r="E85" s="68" t="str">
        <x:v>Bodyweight / floor space</x:v>
      </x:c>
      <x:c r="F85" s="68" t="str">
        <x:v>[["Bodyweight / floor space"]]</x:v>
      </x:c>
      <x:c r="G85" s="68" t="str">
        <x:v>["Dumbbells","Calf raise platform / machine"]</x:v>
      </x:c>
      <x:c r="H85" s="68" t="str">
        <x:v>Calf raise</x:v>
      </x:c>
      <x:c r="I85" s="68" t="str">
        <x:v>Isolation</x:v>
      </x:c>
      <x:c r="J85" s="68" t="str"/>
      <x:c r="K85" s="68" t="str">
        <x:v>Yes</x:v>
      </x:c>
      <x:c r="L85" s="70" t="b">
        <x:v>0</x:v>
      </x:c>
      <x:c r="M85" s="83" t="n">
        <x:v>46222.65625</x:v>
      </x:c>
    </x:row>
    <x:row r="86">
      <x:c r="A86" s="67" t="str">
        <x:v>EX085</x:v>
      </x:c>
      <x:c r="B86" s="68" t="str">
        <x:v>Smith-machine bench press</x:v>
      </x:c>
      <x:c r="C86" s="68" t="str">
        <x:v>Chest / Triceps</x:v>
      </x:c>
      <x:c r="D86" s="68" t="str">
        <x:v>Horizontal press</x:v>
      </x:c>
      <x:c r="E86" s="68" t="str">
        <x:v>Smith machine + Bench</x:v>
      </x:c>
      <x:c r="F86" s="68" t="str">
        <x:v>[["Smith machine","Bench"]]</x:v>
      </x:c>
      <x:c r="G86" s="68" t="str">
        <x:v>[]</x:v>
      </x:c>
      <x:c r="H86" s="68" t="str">
        <x:v>Horizontal press</x:v>
      </x:c>
      <x:c r="I86" s="68" t="str">
        <x:v>Main lift</x:v>
      </x:c>
      <x:c r="J86" s="68" t="str"/>
      <x:c r="K86" s="68" t="str">
        <x:v>Yes</x:v>
      </x:c>
      <x:c r="L86" s="70" t="b">
        <x:v>0</x:v>
      </x:c>
      <x:c r="M86" s="83" t="n">
        <x:v>46222.65625</x:v>
      </x:c>
    </x:row>
    <x:row r="87">
      <x:c r="A87" s="67" t="str">
        <x:v>EX086</x:v>
      </x:c>
      <x:c r="B87" s="68" t="str">
        <x:v>Chest press machine</x:v>
      </x:c>
      <x:c r="C87" s="68" t="str">
        <x:v>Chest / Triceps</x:v>
      </x:c>
      <x:c r="D87" s="68" t="str">
        <x:v>Horizontal press</x:v>
      </x:c>
      <x:c r="E87" s="68" t="str">
        <x:v>Chest press / pec deck machine</x:v>
      </x:c>
      <x:c r="F87" s="68" t="str">
        <x:v>[["Chest press / pec deck machine"]]</x:v>
      </x:c>
      <x:c r="G87" s="68" t="str">
        <x:v>[]</x:v>
      </x:c>
      <x:c r="H87" s="68" t="str">
        <x:v>Horizontal press</x:v>
      </x:c>
      <x:c r="I87" s="68" t="str">
        <x:v>Main lift</x:v>
      </x:c>
      <x:c r="J87" s="68" t="str"/>
      <x:c r="K87" s="68" t="str">
        <x:v>Yes</x:v>
      </x:c>
      <x:c r="L87" s="70" t="b">
        <x:v>0</x:v>
      </x:c>
      <x:c r="M87" s="83" t="n">
        <x:v>46222.65625</x:v>
      </x:c>
    </x:row>
    <x:row r="88">
      <x:c r="A88" s="67" t="str">
        <x:v>EX087</x:v>
      </x:c>
      <x:c r="B88" s="68" t="str">
        <x:v>Dumbbell fly</x:v>
      </x:c>
      <x:c r="C88" s="68" t="str">
        <x:v>Chest</x:v>
      </x:c>
      <x:c r="D88" s="68" t="str">
        <x:v>Chest isolation</x:v>
      </x:c>
      <x:c r="E88" s="68" t="str">
        <x:v>Dumbbells + Bench</x:v>
      </x:c>
      <x:c r="F88" s="68" t="str">
        <x:v>[["Dumbbells","Bench"]]</x:v>
      </x:c>
      <x:c r="G88" s="68" t="str">
        <x:v>[]</x:v>
      </x:c>
      <x:c r="H88" s="68" t="str">
        <x:v>Chest</x:v>
      </x:c>
      <x:c r="I88" s="68" t="str">
        <x:v>Isolation</x:v>
      </x:c>
      <x:c r="J88" s="68" t="str">
        <x:v>Use a comfortable range; avoid excessive stretch.</x:v>
      </x:c>
      <x:c r="K88" s="68" t="str">
        <x:v>Maybe</x:v>
      </x:c>
      <x:c r="L88" s="70" t="b">
        <x:v>0</x:v>
      </x:c>
      <x:c r="M88" s="83" t="n">
        <x:v>46222.65625</x:v>
      </x:c>
    </x:row>
    <x:row r="89">
      <x:c r="A89" s="67" t="str">
        <x:v>EX088</x:v>
      </x:c>
      <x:c r="B89" s="68" t="str">
        <x:v>Pec deck fly</x:v>
      </x:c>
      <x:c r="C89" s="68" t="str">
        <x:v>Chest</x:v>
      </x:c>
      <x:c r="D89" s="68" t="str">
        <x:v>Chest isolation</x:v>
      </x:c>
      <x:c r="E89" s="68" t="str">
        <x:v>Chest press / pec deck machine</x:v>
      </x:c>
      <x:c r="F89" s="68" t="str">
        <x:v>[["Chest press / pec deck machine"]]</x:v>
      </x:c>
      <x:c r="G89" s="68" t="str">
        <x:v>[]</x:v>
      </x:c>
      <x:c r="H89" s="68" t="str">
        <x:v>Chest</x:v>
      </x:c>
      <x:c r="I89" s="68" t="str">
        <x:v>Isolation</x:v>
      </x:c>
      <x:c r="J89" s="68" t="str"/>
      <x:c r="K89" s="68" t="str">
        <x:v>Maybe</x:v>
      </x:c>
      <x:c r="L89" s="70" t="b">
        <x:v>0</x:v>
      </x:c>
      <x:c r="M89" s="83" t="n">
        <x:v>46222.65625</x:v>
      </x:c>
    </x:row>
    <x:row r="90">
      <x:c r="A90" s="67" t="str">
        <x:v>EX089</x:v>
      </x:c>
      <x:c r="B90" s="68" t="str">
        <x:v>Landmine press</x:v>
      </x:c>
      <x:c r="C90" s="68" t="str">
        <x:v>Delts / Upper chest / Triceps</x:v>
      </x:c>
      <x:c r="D90" s="68" t="str">
        <x:v>Vertical press</x:v>
      </x:c>
      <x:c r="E90" s="68" t="str">
        <x:v>Barbell + plates + Landmine attachment</x:v>
      </x:c>
      <x:c r="F90" s="68" t="str">
        <x:v>[["Barbell + plates","Landmine attachment"]]</x:v>
      </x:c>
      <x:c r="G90" s="68" t="str">
        <x:v>[]</x:v>
      </x:c>
      <x:c r="H90" s="68" t="str">
        <x:v>Vertical press</x:v>
      </x:c>
      <x:c r="I90" s="68" t="str">
        <x:v>Substitution</x:v>
      </x:c>
      <x:c r="J90" s="68" t="str"/>
      <x:c r="K90" s="68" t="str">
        <x:v>Yes</x:v>
      </x:c>
      <x:c r="L90" s="70" t="b">
        <x:v>0</x:v>
      </x:c>
      <x:c r="M90" s="83" t="n">
        <x:v>46222.65625</x:v>
      </x:c>
    </x:row>
    <x:row r="91">
      <x:c r="A91" s="67" t="str">
        <x:v>EX090</x:v>
      </x:c>
      <x:c r="B91" s="68" t="str">
        <x:v>Arnold press</x:v>
      </x:c>
      <x:c r="C91" s="68" t="str">
        <x:v>Delts / Triceps</x:v>
      </x:c>
      <x:c r="D91" s="68" t="str">
        <x:v>Vertical press</x:v>
      </x:c>
      <x:c r="E91" s="68" t="str">
        <x:v>Dumbbells + Bench</x:v>
      </x:c>
      <x:c r="F91" s="68" t="str">
        <x:v>[["Dumbbells","Bench"]]</x:v>
      </x:c>
      <x:c r="G91" s="68" t="str">
        <x:v>[]</x:v>
      </x:c>
      <x:c r="H91" s="68" t="str">
        <x:v>Vertical press</x:v>
      </x:c>
      <x:c r="I91" s="68" t="str">
        <x:v>Substitution</x:v>
      </x:c>
      <x:c r="J91" s="68" t="str"/>
      <x:c r="K91" s="68" t="str">
        <x:v>Yes</x:v>
      </x:c>
      <x:c r="L91" s="70" t="b">
        <x:v>0</x:v>
      </x:c>
      <x:c r="M91" s="83" t="n">
        <x:v>46222.65625</x:v>
      </x:c>
    </x:row>
    <x:row r="92">
      <x:c r="A92" s="67" t="str">
        <x:v>EX091</x:v>
      </x:c>
      <x:c r="B92" s="68" t="str">
        <x:v>Dumbbell pullover</x:v>
      </x:c>
      <x:c r="C92" s="68" t="str">
        <x:v>Lats / Chest</x:v>
      </x:c>
      <x:c r="D92" s="68" t="str">
        <x:v>Pullover</x:v>
      </x:c>
      <x:c r="E92" s="68" t="str">
        <x:v>Dumbbells + Bench</x:v>
      </x:c>
      <x:c r="F92" s="68" t="str">
        <x:v>[["Dumbbells","Bench"]]</x:v>
      </x:c>
      <x:c r="G92" s="68" t="str">
        <x:v>[]</x:v>
      </x:c>
      <x:c r="H92" s="68" t="str">
        <x:v>Pullover</x:v>
      </x:c>
      <x:c r="I92" s="68" t="str">
        <x:v>Substitution</x:v>
      </x:c>
      <x:c r="J92" s="68" t="str"/>
      <x:c r="K92" s="68" t="str">
        <x:v>Yes</x:v>
      </x:c>
      <x:c r="L92" s="70" t="b">
        <x:v>0</x:v>
      </x:c>
      <x:c r="M92" s="83" t="n">
        <x:v>46222.65625</x:v>
      </x:c>
    </x:row>
    <x:row r="93">
      <x:c r="A93" s="67" t="str">
        <x:v>EX092</x:v>
      </x:c>
      <x:c r="B93" s="68" t="str">
        <x:v>Landmine T-bar row</x:v>
      </x:c>
      <x:c r="C93" s="68" t="str">
        <x:v>Upper back / Lats</x:v>
      </x:c>
      <x:c r="D93" s="68" t="str">
        <x:v>Horizontal pull</x:v>
      </x:c>
      <x:c r="E93" s="68" t="str">
        <x:v>Barbell + plates + Landmine attachment</x:v>
      </x:c>
      <x:c r="F93" s="68" t="str">
        <x:v>[["Barbell + plates","Landmine attachment"]]</x:v>
      </x:c>
      <x:c r="G93" s="68" t="str">
        <x:v>[]</x:v>
      </x:c>
      <x:c r="H93" s="68" t="str">
        <x:v>Horizontal pull</x:v>
      </x:c>
      <x:c r="I93" s="68" t="str">
        <x:v>Main lift</x:v>
      </x:c>
      <x:c r="J93" s="68" t="str"/>
      <x:c r="K93" s="68" t="str">
        <x:v>Yes</x:v>
      </x:c>
      <x:c r="L93" s="70" t="b">
        <x:v>0</x:v>
      </x:c>
      <x:c r="M93" s="83" t="n">
        <x:v>46222.65625</x:v>
      </x:c>
    </x:row>
    <x:row r="94">
      <x:c r="A94" s="67" t="str">
        <x:v>EX093</x:v>
      </x:c>
      <x:c r="B94" s="68" t="str">
        <x:v>Band row</x:v>
      </x:c>
      <x:c r="C94" s="68" t="str">
        <x:v>Upper back / Lats</x:v>
      </x:c>
      <x:c r="D94" s="68" t="str">
        <x:v>Horizontal pull</x:v>
      </x:c>
      <x:c r="E94" s="68" t="str">
        <x:v>Resistance bands / tubes + Secure band anchor</x:v>
      </x:c>
      <x:c r="F94" s="68" t="str">
        <x:v>[["Resistance bands / tubes","Secure band anchor"]]</x:v>
      </x:c>
      <x:c r="G94" s="68" t="str">
        <x:v>[]</x:v>
      </x:c>
      <x:c r="H94" s="68" t="str">
        <x:v>Horizontal pull</x:v>
      </x:c>
      <x:c r="I94" s="68" t="str">
        <x:v>Substitution</x:v>
      </x:c>
      <x:c r="J94" s="68" t="str"/>
      <x:c r="K94" s="68" t="str">
        <x:v>Yes</x:v>
      </x:c>
      <x:c r="L94" s="70" t="b">
        <x:v>0</x:v>
      </x:c>
      <x:c r="M94" s="83" t="n">
        <x:v>46222.65625</x:v>
      </x:c>
    </x:row>
    <x:row r="95">
      <x:c r="A95" s="67" t="str">
        <x:v>EX094</x:v>
      </x:c>
      <x:c r="B95" s="68" t="str">
        <x:v>Band lat pulldown</x:v>
      </x:c>
      <x:c r="C95" s="68" t="str">
        <x:v>Lats</x:v>
      </x:c>
      <x:c r="D95" s="68" t="str">
        <x:v>Vertical pull</x:v>
      </x:c>
      <x:c r="E95" s="68" t="str">
        <x:v>Resistance bands / tubes + High band anchor</x:v>
      </x:c>
      <x:c r="F95" s="68" t="str">
        <x:v>[["Resistance bands / tubes","High band anchor"]]</x:v>
      </x:c>
      <x:c r="G95" s="68" t="str">
        <x:v>[]</x:v>
      </x:c>
      <x:c r="H95" s="68" t="str">
        <x:v>Vertical pull</x:v>
      </x:c>
      <x:c r="I95" s="68" t="str">
        <x:v>Substitution</x:v>
      </x:c>
      <x:c r="J95" s="68" t="str"/>
      <x:c r="K95" s="68" t="str">
        <x:v>Yes</x:v>
      </x:c>
      <x:c r="L95" s="70" t="b">
        <x:v>0</x:v>
      </x:c>
      <x:c r="M95" s="83" t="n">
        <x:v>46222.65625</x:v>
      </x:c>
    </x:row>
    <x:row r="96">
      <x:c r="A96" s="67" t="str">
        <x:v>EX095</x:v>
      </x:c>
      <x:c r="B96" s="68" t="str">
        <x:v>Pull-up</x:v>
      </x:c>
      <x:c r="C96" s="68" t="str">
        <x:v>Lats / Biceps</x:v>
      </x:c>
      <x:c r="D96" s="68" t="str">
        <x:v>Vertical pull</x:v>
      </x:c>
      <x:c r="E96" s="68" t="str">
        <x:v>Pull-up bar</x:v>
      </x:c>
      <x:c r="F96" s="68" t="str">
        <x:v>[["Pull-up bar"]]</x:v>
      </x:c>
      <x:c r="G96" s="68" t="str">
        <x:v>["Resistance bands / tubes","Dip belt / loading belt"]</x:v>
      </x:c>
      <x:c r="H96" s="68" t="str">
        <x:v>Vertical pull</x:v>
      </x:c>
      <x:c r="I96" s="68" t="str">
        <x:v>Main lift</x:v>
      </x:c>
      <x:c r="J96" s="68" t="str"/>
      <x:c r="K96" s="68" t="str">
        <x:v>Yes</x:v>
      </x:c>
      <x:c r="L96" s="70" t="b">
        <x:v>0</x:v>
      </x:c>
      <x:c r="M96" s="83" t="n">
        <x:v>46222.65625</x:v>
      </x:c>
    </x:row>
    <x:row r="97">
      <x:c r="A97" s="67" t="str">
        <x:v>EX096</x:v>
      </x:c>
      <x:c r="B97" s="68" t="str">
        <x:v>Band-assisted pull-up</x:v>
      </x:c>
      <x:c r="C97" s="68" t="str">
        <x:v>Lats / Biceps</x:v>
      </x:c>
      <x:c r="D97" s="68" t="str">
        <x:v>Vertical pull</x:v>
      </x:c>
      <x:c r="E97" s="68" t="str">
        <x:v>Pull-up bar + Resistance bands / tubes</x:v>
      </x:c>
      <x:c r="F97" s="68" t="str">
        <x:v>[["Pull-up bar","Resistance bands / tubes"]]</x:v>
      </x:c>
      <x:c r="G97" s="68" t="str">
        <x:v>[]</x:v>
      </x:c>
      <x:c r="H97" s="68" t="str">
        <x:v>Vertical pull</x:v>
      </x:c>
      <x:c r="I97" s="68" t="str">
        <x:v>Substitution</x:v>
      </x:c>
      <x:c r="J97" s="68" t="str"/>
      <x:c r="K97" s="68" t="str">
        <x:v>Yes</x:v>
      </x:c>
      <x:c r="L97" s="70" t="b">
        <x:v>0</x:v>
      </x:c>
      <x:c r="M97" s="83" t="n">
        <x:v>46222.65625</x:v>
      </x:c>
    </x:row>
    <x:row r="98">
      <x:c r="A98" s="67" t="str">
        <x:v>EX097</x:v>
      </x:c>
      <x:c r="B98" s="68" t="str">
        <x:v>Dumbbell rear-delt fly</x:v>
      </x:c>
      <x:c r="C98" s="68" t="str">
        <x:v>Rear delts / Upper back</x:v>
      </x:c>
      <x:c r="D98" s="68" t="str">
        <x:v>Rear delt</x:v>
      </x:c>
      <x:c r="E98" s="68" t="str">
        <x:v>Dumbbells</x:v>
      </x:c>
      <x:c r="F98" s="68" t="str">
        <x:v>[["Dumbbells"]]</x:v>
      </x:c>
      <x:c r="G98" s="68" t="str">
        <x:v>[]</x:v>
      </x:c>
      <x:c r="H98" s="68" t="str">
        <x:v>Rear delt</x:v>
      </x:c>
      <x:c r="I98" s="68" t="str">
        <x:v>Isolation</x:v>
      </x:c>
      <x:c r="J98" s="68" t="str"/>
      <x:c r="K98" s="68" t="str">
        <x:v>Yes</x:v>
      </x:c>
      <x:c r="L98" s="70" t="b">
        <x:v>0</x:v>
      </x:c>
      <x:c r="M98" s="83" t="n">
        <x:v>46222.65625</x:v>
      </x:c>
    </x:row>
    <x:row r="99">
      <x:c r="A99" s="67" t="str">
        <x:v>EX098</x:v>
      </x:c>
      <x:c r="B99" s="68" t="str">
        <x:v>Reverse pec deck</x:v>
      </x:c>
      <x:c r="C99" s="68" t="str">
        <x:v>Rear delts / Upper back</x:v>
      </x:c>
      <x:c r="D99" s="68" t="str">
        <x:v>Rear delt</x:v>
      </x:c>
      <x:c r="E99" s="68" t="str">
        <x:v>Chest press / pec deck machine</x:v>
      </x:c>
      <x:c r="F99" s="68" t="str">
        <x:v>[["Chest press / pec deck machine"]]</x:v>
      </x:c>
      <x:c r="G99" s="68" t="str">
        <x:v>[]</x:v>
      </x:c>
      <x:c r="H99" s="68" t="str">
        <x:v>Rear delt</x:v>
      </x:c>
      <x:c r="I99" s="68" t="str">
        <x:v>Isolation</x:v>
      </x:c>
      <x:c r="J99" s="68" t="str"/>
      <x:c r="K99" s="68" t="str">
        <x:v>Yes</x:v>
      </x:c>
      <x:c r="L99" s="70" t="b">
        <x:v>0</x:v>
      </x:c>
      <x:c r="M99" s="83" t="n">
        <x:v>46222.65625</x:v>
      </x:c>
    </x:row>
    <x:row r="100">
      <x:c r="A100" s="67" t="str">
        <x:v>EX099</x:v>
      </x:c>
      <x:c r="B100" s="68" t="str">
        <x:v>Band face pull</x:v>
      </x:c>
      <x:c r="C100" s="68" t="str">
        <x:v>Rear delts / Upper back</x:v>
      </x:c>
      <x:c r="D100" s="68" t="str">
        <x:v>Rear delt / external rotation</x:v>
      </x:c>
      <x:c r="E100" s="68" t="str">
        <x:v>Resistance bands / tubes + High band anchor</x:v>
      </x:c>
      <x:c r="F100" s="68" t="str">
        <x:v>[["Resistance bands / tubes","High band anchor"]]</x:v>
      </x:c>
      <x:c r="G100" s="68" t="str">
        <x:v>[]</x:v>
      </x:c>
      <x:c r="H100" s="68" t="str">
        <x:v>Rear delt</x:v>
      </x:c>
      <x:c r="I100" s="68" t="str">
        <x:v>Isolation</x:v>
      </x:c>
      <x:c r="J100" s="68" t="str"/>
      <x:c r="K100" s="68" t="str">
        <x:v>Yes</x:v>
      </x:c>
      <x:c r="L100" s="70" t="b">
        <x:v>0</x:v>
      </x:c>
      <x:c r="M100" s="83" t="n">
        <x:v>46222.65625</x:v>
      </x:c>
    </x:row>
    <x:row r="101">
      <x:c r="A101" s="67" t="str">
        <x:v>EX100</x:v>
      </x:c>
      <x:c r="B101" s="68" t="str">
        <x:v>Band lateral raise</x:v>
      </x:c>
      <x:c r="C101" s="68" t="str">
        <x:v>Side delts</x:v>
      </x:c>
      <x:c r="D101" s="68" t="str">
        <x:v>Lateral raise</x:v>
      </x:c>
      <x:c r="E101" s="68" t="str">
        <x:v>Resistance bands / tubes</x:v>
      </x:c>
      <x:c r="F101" s="68" t="str">
        <x:v>[["Resistance bands / tubes"]]</x:v>
      </x:c>
      <x:c r="G101" s="68" t="str">
        <x:v>[]</x:v>
      </x:c>
      <x:c r="H101" s="68" t="str">
        <x:v>Lateral raise</x:v>
      </x:c>
      <x:c r="I101" s="68" t="str">
        <x:v>Isolation</x:v>
      </x:c>
      <x:c r="J101" s="68" t="str"/>
      <x:c r="K101" s="68" t="str">
        <x:v>Yes</x:v>
      </x:c>
      <x:c r="L101" s="70" t="b">
        <x:v>0</x:v>
      </x:c>
      <x:c r="M101" s="83" t="n">
        <x:v>46222.65625</x:v>
      </x:c>
    </x:row>
    <x:row r="102">
      <x:c r="A102" s="67" t="str">
        <x:v>EX101</x:v>
      </x:c>
      <x:c r="B102" s="68" t="str">
        <x:v>EZ-bar curl</x:v>
      </x:c>
      <x:c r="C102" s="68" t="str">
        <x:v>Biceps</x:v>
      </x:c>
      <x:c r="D102" s="68" t="str">
        <x:v>Elbow flexion</x:v>
      </x:c>
      <x:c r="E102" s="68" t="str">
        <x:v>EZ curl bar + Barbell plates</x:v>
      </x:c>
      <x:c r="F102" s="68" t="str">
        <x:v>[["EZ curl bar","Barbell plates"]]</x:v>
      </x:c>
      <x:c r="G102" s="68" t="str">
        <x:v>[]</x:v>
      </x:c>
      <x:c r="H102" s="68" t="str">
        <x:v>Elbow flexion</x:v>
      </x:c>
      <x:c r="I102" s="68" t="str">
        <x:v>Isolation</x:v>
      </x:c>
      <x:c r="J102" s="68" t="str"/>
      <x:c r="K102" s="68" t="str">
        <x:v>Yes</x:v>
      </x:c>
      <x:c r="L102" s="70" t="b">
        <x:v>0</x:v>
      </x:c>
      <x:c r="M102" s="83" t="n">
        <x:v>46222.65625</x:v>
      </x:c>
    </x:row>
    <x:row r="103">
      <x:c r="A103" s="67" t="str">
        <x:v>EX102</x:v>
      </x:c>
      <x:c r="B103" s="68" t="str">
        <x:v>Preacher curl</x:v>
      </x:c>
      <x:c r="C103" s="68" t="str">
        <x:v>Biceps</x:v>
      </x:c>
      <x:c r="D103" s="68" t="str">
        <x:v>Elbow flexion</x:v>
      </x:c>
      <x:c r="E103" s="68" t="str">
        <x:v>Preacher curl bench + EZ curl bar + Barbell plates OR Preacher curl bench + Dumbbells</x:v>
      </x:c>
      <x:c r="F103" s="68" t="str">
        <x:v>[["Preacher curl bench","EZ curl bar","Barbell plates"],["Preacher curl bench","Dumbbells"]]</x:v>
      </x:c>
      <x:c r="G103" s="68" t="str">
        <x:v>[]</x:v>
      </x:c>
      <x:c r="H103" s="68" t="str">
        <x:v>Elbow flexion</x:v>
      </x:c>
      <x:c r="I103" s="68" t="str">
        <x:v>Isolation</x:v>
      </x:c>
      <x:c r="J103" s="68" t="str"/>
      <x:c r="K103" s="68" t="str">
        <x:v>Yes</x:v>
      </x:c>
      <x:c r="L103" s="70" t="b">
        <x:v>0</x:v>
      </x:c>
      <x:c r="M103" s="83" t="n">
        <x:v>46222.65625</x:v>
      </x:c>
    </x:row>
    <x:row r="104">
      <x:c r="A104" s="67" t="str">
        <x:v>EX103</x:v>
      </x:c>
      <x:c r="B104" s="68" t="str">
        <x:v>Band curl</x:v>
      </x:c>
      <x:c r="C104" s="68" t="str">
        <x:v>Biceps</x:v>
      </x:c>
      <x:c r="D104" s="68" t="str">
        <x:v>Elbow flexion</x:v>
      </x:c>
      <x:c r="E104" s="68" t="str">
        <x:v>Resistance bands / tubes</x:v>
      </x:c>
      <x:c r="F104" s="68" t="str">
        <x:v>[["Resistance bands / tubes"]]</x:v>
      </x:c>
      <x:c r="G104" s="68" t="str">
        <x:v>[]</x:v>
      </x:c>
      <x:c r="H104" s="68" t="str">
        <x:v>Elbow flexion</x:v>
      </x:c>
      <x:c r="I104" s="68" t="str">
        <x:v>Isolation</x:v>
      </x:c>
      <x:c r="J104" s="68" t="str"/>
      <x:c r="K104" s="68" t="str">
        <x:v>Yes</x:v>
      </x:c>
      <x:c r="L104" s="70" t="b">
        <x:v>0</x:v>
      </x:c>
      <x:c r="M104" s="83" t="n">
        <x:v>46222.65625</x:v>
      </x:c>
    </x:row>
    <x:row r="105">
      <x:c r="A105" s="67" t="str">
        <x:v>EX104</x:v>
      </x:c>
      <x:c r="B105" s="68" t="str">
        <x:v>EZ-bar skull crusher</x:v>
      </x:c>
      <x:c r="C105" s="68" t="str">
        <x:v>Triceps</x:v>
      </x:c>
      <x:c r="D105" s="68" t="str">
        <x:v>Elbow extension</x:v>
      </x:c>
      <x:c r="E105" s="68" t="str">
        <x:v>EZ curl bar + Barbell plates + Bench</x:v>
      </x:c>
      <x:c r="F105" s="68" t="str">
        <x:v>[["EZ curl bar","Barbell plates","Bench"]]</x:v>
      </x:c>
      <x:c r="G105" s="68" t="str">
        <x:v>[]</x:v>
      </x:c>
      <x:c r="H105" s="68" t="str">
        <x:v>Elbow extension</x:v>
      </x:c>
      <x:c r="I105" s="68" t="str">
        <x:v>Isolation</x:v>
      </x:c>
      <x:c r="J105" s="68" t="str"/>
      <x:c r="K105" s="68" t="str">
        <x:v>Yes</x:v>
      </x:c>
      <x:c r="L105" s="70" t="b">
        <x:v>0</x:v>
      </x:c>
      <x:c r="M105" s="83" t="n">
        <x:v>46222.65625</x:v>
      </x:c>
    </x:row>
    <x:row r="106">
      <x:c r="A106" s="67" t="str">
        <x:v>EX105</x:v>
      </x:c>
      <x:c r="B106" s="68" t="str">
        <x:v>Band triceps pushdown</x:v>
      </x:c>
      <x:c r="C106" s="68" t="str">
        <x:v>Triceps</x:v>
      </x:c>
      <x:c r="D106" s="68" t="str">
        <x:v>Elbow extension</x:v>
      </x:c>
      <x:c r="E106" s="68" t="str">
        <x:v>Resistance bands / tubes + High band anchor</x:v>
      </x:c>
      <x:c r="F106" s="68" t="str">
        <x:v>[["Resistance bands / tubes","High band anchor"]]</x:v>
      </x:c>
      <x:c r="G106" s="68" t="str">
        <x:v>[]</x:v>
      </x:c>
      <x:c r="H106" s="68" t="str">
        <x:v>Elbow extension</x:v>
      </x:c>
      <x:c r="I106" s="68" t="str">
        <x:v>Isolation</x:v>
      </x:c>
      <x:c r="J106" s="68" t="str"/>
      <x:c r="K106" s="68" t="str">
        <x:v>Yes</x:v>
      </x:c>
      <x:c r="L106" s="70" t="b">
        <x:v>0</x:v>
      </x:c>
      <x:c r="M106" s="83" t="n">
        <x:v>46222.65625</x:v>
      </x:c>
    </x:row>
    <x:row r="107">
      <x:c r="A107" s="67" t="str">
        <x:v>EX106</x:v>
      </x:c>
      <x:c r="B107" s="68" t="str">
        <x:v>Close-grip push-up</x:v>
      </x:c>
      <x:c r="C107" s="68" t="str">
        <x:v>Triceps / Chest</x:v>
      </x:c>
      <x:c r="D107" s="68" t="str">
        <x:v>Horizontal press</x:v>
      </x:c>
      <x:c r="E107" s="68" t="str">
        <x:v>Bodyweight / floor space</x:v>
      </x:c>
      <x:c r="F107" s="68" t="str">
        <x:v>[["Bodyweight / floor space"]]</x:v>
      </x:c>
      <x:c r="G107" s="68" t="str">
        <x:v>["Resistance bands / tubes","Weighted vest"]</x:v>
      </x:c>
      <x:c r="H107" s="68" t="str">
        <x:v>Horizontal press</x:v>
      </x:c>
      <x:c r="I107" s="68" t="str">
        <x:v>Substitution</x:v>
      </x:c>
      <x:c r="J107" s="68" t="str"/>
      <x:c r="K107" s="68" t="str">
        <x:v>Yes</x:v>
      </x:c>
      <x:c r="L107" s="70" t="b">
        <x:v>0</x:v>
      </x:c>
      <x:c r="M107" s="83" t="n">
        <x:v>46222.65625</x:v>
      </x:c>
    </x:row>
    <x:row r="108">
      <x:c r="A108" s="67" t="str">
        <x:v>EX107</x:v>
      </x:c>
      <x:c r="B108" s="68" t="str">
        <x:v>Stability-ball crunch</x:v>
      </x:c>
      <x:c r="C108" s="68" t="str">
        <x:v>Abs</x:v>
      </x:c>
      <x:c r="D108" s="68" t="str">
        <x:v>Spinal flexion</x:v>
      </x:c>
      <x:c r="E108" s="68" t="str">
        <x:v>Stability ball</x:v>
      </x:c>
      <x:c r="F108" s="68" t="str">
        <x:v>[["Stability ball"]]</x:v>
      </x:c>
      <x:c r="G108" s="68" t="str">
        <x:v>[]</x:v>
      </x:c>
      <x:c r="H108" s="68" t="str">
        <x:v>Core</x:v>
      </x:c>
      <x:c r="I108" s="68" t="str">
        <x:v>Isolation</x:v>
      </x:c>
      <x:c r="J108" s="68" t="str"/>
      <x:c r="K108" s="68" t="str">
        <x:v>Yes</x:v>
      </x:c>
      <x:c r="L108" s="70" t="b">
        <x:v>0</x:v>
      </x:c>
      <x:c r="M108" s="83" t="n">
        <x:v>46222.65625</x:v>
      </x:c>
    </x:row>
    <x:row r="109">
      <x:c r="A109" s="67" t="str">
        <x:v>EX108</x:v>
      </x:c>
      <x:c r="B109" s="68" t="str">
        <x:v>Reverse crunch</x:v>
      </x:c>
      <x:c r="C109" s="68" t="str">
        <x:v>Abs</x:v>
      </x:c>
      <x:c r="D109" s="68" t="str">
        <x:v>Spinal flexion</x:v>
      </x:c>
      <x:c r="E109" s="68" t="str">
        <x:v>Bodyweight / floor space</x:v>
      </x:c>
      <x:c r="F109" s="68" t="str">
        <x:v>[["Bodyweight / floor space"]]</x:v>
      </x:c>
      <x:c r="G109" s="68" t="str">
        <x:v>[]</x:v>
      </x:c>
      <x:c r="H109" s="68" t="str">
        <x:v>Core</x:v>
      </x:c>
      <x:c r="I109" s="68" t="str">
        <x:v>Substitution</x:v>
      </x:c>
      <x:c r="J109" s="68" t="str"/>
      <x:c r="K109" s="68" t="str">
        <x:v>Yes</x:v>
      </x:c>
      <x:c r="L109" s="70" t="b">
        <x:v>0</x:v>
      </x:c>
      <x:c r="M109" s="83" t="n">
        <x:v>46222.65625</x:v>
      </x:c>
    </x:row>
    <x:row r="110">
      <x:c r="A110" s="67" t="str">
        <x:v>EX109</x:v>
      </x:c>
      <x:c r="B110" s="68" t="str">
        <x:v>Side plank</x:v>
      </x:c>
      <x:c r="C110" s="68" t="str">
        <x:v>Obliques / Core</x:v>
      </x:c>
      <x:c r="D110" s="68" t="str">
        <x:v>Anti-lateral flexion</x:v>
      </x:c>
      <x:c r="E110" s="68" t="str">
        <x:v>Bodyweight / floor space</x:v>
      </x:c>
      <x:c r="F110" s="68" t="str">
        <x:v>[["Bodyweight / floor space"]]</x:v>
      </x:c>
      <x:c r="G110" s="68" t="str">
        <x:v>[]</x:v>
      </x:c>
      <x:c r="H110" s="68" t="str">
        <x:v>Core</x:v>
      </x:c>
      <x:c r="I110" s="68" t="str">
        <x:v>Substitution</x:v>
      </x:c>
      <x:c r="J110" s="68" t="str"/>
      <x:c r="K110" s="68" t="str">
        <x:v>Yes</x:v>
      </x:c>
      <x:c r="L110" s="70" t="b">
        <x:v>0</x:v>
      </x:c>
      <x:c r="M110" s="83" t="n">
        <x:v>46222.65625</x:v>
      </x:c>
    </x:row>
    <x:row r="111">
      <x:c r="A111" s="67" t="str">
        <x:v>EX110</x:v>
      </x:c>
      <x:c r="B111" s="68" t="str">
        <x:v>Farmer carry</x:v>
      </x:c>
      <x:c r="C111" s="68" t="str">
        <x:v>Grip / Traps / Core</x:v>
      </x:c>
      <x:c r="D111" s="68" t="str">
        <x:v>Loaded carry</x:v>
      </x:c>
      <x:c r="E111" s="68" t="str">
        <x:v>Dumbbells OR Kettlebells</x:v>
      </x:c>
      <x:c r="F111" s="68" t="str">
        <x:v>[["Dumbbells"],["Kettlebells"]]</x:v>
      </x:c>
      <x:c r="G111" s="68" t="str">
        <x:v>[]</x:v>
      </x:c>
      <x:c r="H111" s="68" t="str">
        <x:v>Loaded carry</x:v>
      </x:c>
      <x:c r="I111" s="68" t="str">
        <x:v>Substitution</x:v>
      </x:c>
      <x:c r="J111" s="68" t="str"/>
      <x:c r="K111" s="68" t="str">
        <x:v>Maybe</x:v>
      </x:c>
      <x:c r="L111" s="70" t="b">
        <x:v>0</x:v>
      </x:c>
      <x:c r="M111" s="83" t="n">
        <x:v>46222.65625</x:v>
      </x:c>
    </x:row>
    <x:row r="112">
      <x:c r="A112" s="67" t="str">
        <x:v>EX111</x:v>
      </x:c>
      <x:c r="B112" s="68" t="str">
        <x:v>Suitcase carry</x:v>
      </x:c>
      <x:c r="C112" s="68" t="str">
        <x:v>Core / Grip</x:v>
      </x:c>
      <x:c r="D112" s="68" t="str">
        <x:v>Loaded carry</x:v>
      </x:c>
      <x:c r="E112" s="68" t="str">
        <x:v>Dumbbells OR Kettlebells</x:v>
      </x:c>
      <x:c r="F112" s="68" t="str">
        <x:v>[["Dumbbells"],["Kettlebells"]]</x:v>
      </x:c>
      <x:c r="G112" s="68" t="str">
        <x:v>[]</x:v>
      </x:c>
      <x:c r="H112" s="68" t="str">
        <x:v>Loaded carry</x:v>
      </x:c>
      <x:c r="I112" s="68" t="str">
        <x:v>Substitution</x:v>
      </x:c>
      <x:c r="J112" s="68" t="str"/>
      <x:c r="K112" s="68" t="str">
        <x:v>Maybe</x:v>
      </x:c>
      <x:c r="L112" s="70" t="b">
        <x:v>0</x:v>
      </x:c>
      <x:c r="M112" s="83" t="n">
        <x:v>46222.65625</x:v>
      </x:c>
    </x:row>
    <x:row r="113">
      <x:c r="A113" s="67" t="str">
        <x:v>EX112</x:v>
      </x:c>
      <x:c r="B113" s="68" t="str">
        <x:v>Trap-bar carry</x:v>
      </x:c>
      <x:c r="C113" s="68" t="str">
        <x:v>Grip / Traps / Core</x:v>
      </x:c>
      <x:c r="D113" s="68" t="str">
        <x:v>Loaded carry</x:v>
      </x:c>
      <x:c r="E113" s="68" t="str">
        <x:v>Trap / hex bar + Barbell plates</x:v>
      </x:c>
      <x:c r="F113" s="68" t="str">
        <x:v>[["Trap / hex bar","Barbell plates"]]</x:v>
      </x:c>
      <x:c r="G113" s="68" t="str">
        <x:v>[]</x:v>
      </x:c>
      <x:c r="H113" s="68" t="str">
        <x:v>Loaded carry</x:v>
      </x:c>
      <x:c r="I113" s="68" t="str">
        <x:v>Substitution</x:v>
      </x:c>
      <x:c r="J113" s="68" t="str"/>
      <x:c r="K113" s="68" t="str">
        <x:v>Maybe</x:v>
      </x:c>
      <x:c r="L113" s="70" t="b">
        <x:v>0</x:v>
      </x:c>
      <x:c r="M113" s="83" t="n">
        <x:v>46222.65625</x:v>
      </x:c>
    </x:row>
    <x:row r="114">
      <x:c r="A114" s="67" t="str">
        <x:v>EX113</x:v>
      </x:c>
      <x:c r="B114" s="68" t="str">
        <x:v>Rowing machine</x:v>
      </x:c>
      <x:c r="C114" s="68" t="str">
        <x:v>Cardio / Recovery</x:v>
      </x:c>
      <x:c r="D114" s="68" t="str">
        <x:v>Aerobic</x:v>
      </x:c>
      <x:c r="E114" s="68" t="str">
        <x:v>Rowing machine</x:v>
      </x:c>
      <x:c r="F114" s="68" t="str">
        <x:v>[["Rowing machine"]]</x:v>
      </x:c>
      <x:c r="G114" s="68" t="str">
        <x:v>[]</x:v>
      </x:c>
      <x:c r="H114" s="68" t="str">
        <x:v>Cardio</x:v>
      </x:c>
      <x:c r="I114" s="68" t="str">
        <x:v>Conditioning</x:v>
      </x:c>
      <x:c r="J114" s="68" t="str"/>
      <x:c r="K114" s="68" t="str">
        <x:v>Maybe</x:v>
      </x:c>
      <x:c r="L114" s="70" t="b">
        <x:v>0</x:v>
      </x:c>
      <x:c r="M114" s="83" t="n">
        <x:v>46222.65625</x:v>
      </x:c>
    </x:row>
    <x:row r="115">
      <x:c r="A115" s="67" t="str">
        <x:v>EX114</x:v>
      </x:c>
      <x:c r="B115" s="68" t="str">
        <x:v>Elliptical</x:v>
      </x:c>
      <x:c r="C115" s="68" t="str">
        <x:v>Cardio / Recovery</x:v>
      </x:c>
      <x:c r="D115" s="68" t="str">
        <x:v>Aerobic</x:v>
      </x:c>
      <x:c r="E115" s="68" t="str">
        <x:v>Elliptical / cross trainer</x:v>
      </x:c>
      <x:c r="F115" s="68" t="str">
        <x:v>[["Elliptical / cross trainer"]]</x:v>
      </x:c>
      <x:c r="G115" s="68" t="str">
        <x:v>[]</x:v>
      </x:c>
      <x:c r="H115" s="68" t="str">
        <x:v>Cardio</x:v>
      </x:c>
      <x:c r="I115" s="68" t="str">
        <x:v>Conditioning</x:v>
      </x:c>
      <x:c r="J115" s="68" t="str"/>
      <x:c r="K115" s="68" t="str">
        <x:v>Yes</x:v>
      </x:c>
      <x:c r="L115" s="70" t="b">
        <x:v>0</x:v>
      </x:c>
      <x:c r="M115" s="83" t="n">
        <x:v>46222.65625</x:v>
      </x:c>
    </x:row>
    <x:row r="116">
      <x:c r="A116" s="67" t="str">
        <x:v>EX115</x:v>
      </x:c>
      <x:c r="B116" s="68" t="str">
        <x:v>Jump rope</x:v>
      </x:c>
      <x:c r="C116" s="68" t="str">
        <x:v>Cardio / Calves</x:v>
      </x:c>
      <x:c r="D116" s="68" t="str">
        <x:v>Conditioning</x:v>
      </x:c>
      <x:c r="E116" s="68" t="str">
        <x:v>Jump rope</x:v>
      </x:c>
      <x:c r="F116" s="68" t="str">
        <x:v>[["Jump rope"]]</x:v>
      </x:c>
      <x:c r="G116" s="68" t="str">
        <x:v>[]</x:v>
      </x:c>
      <x:c r="H116" s="68" t="str">
        <x:v>Conditioning</x:v>
      </x:c>
      <x:c r="I116" s="68" t="str">
        <x:v>Conditioning</x:v>
      </x:c>
      <x:c r="J116" s="68" t="str"/>
      <x:c r="K116" s="68" t="str">
        <x:v>Maybe</x:v>
      </x:c>
      <x:c r="L116" s="70" t="b">
        <x:v>0</x:v>
      </x:c>
      <x:c r="M116" s="83" t="n">
        <x:v>46222.65625</x:v>
      </x:c>
    </x:row>
    <x:row r="117">
      <x:c r="A117" s="67" t="str">
        <x:v>EX116</x:v>
      </x:c>
      <x:c r="B117" s="68" t="str">
        <x:v>Sled push</x:v>
      </x:c>
      <x:c r="C117" s="68" t="str">
        <x:v>Quads / Conditioning</x:v>
      </x:c>
      <x:c r="D117" s="68" t="str">
        <x:v>Conditioning</x:v>
      </x:c>
      <x:c r="E117" s="68" t="str">
        <x:v>Weight sled / prowler</x:v>
      </x:c>
      <x:c r="F117" s="68" t="str">
        <x:v>[["Weight sled / prowler"]]</x:v>
      </x:c>
      <x:c r="G117" s="68" t="str">
        <x:v>[]</x:v>
      </x:c>
      <x:c r="H117" s="68" t="str">
        <x:v>Conditioning</x:v>
      </x:c>
      <x:c r="I117" s="68" t="str">
        <x:v>Conditioning</x:v>
      </x:c>
      <x:c r="J117" s="68" t="str"/>
      <x:c r="K117" s="68" t="str">
        <x:v>Maybe</x:v>
      </x:c>
      <x:c r="L117" s="70" t="b">
        <x:v>0</x:v>
      </x:c>
      <x:c r="M117" s="83" t="n">
        <x:v>46222.65625</x:v>
      </x:c>
    </x:row>
    <x:row r="118">
      <x:c r="A118" s="67" t="str">
        <x:v>EX117</x:v>
      </x:c>
      <x:c r="B118" s="68" t="str">
        <x:v>Medicine-ball slam</x:v>
      </x:c>
      <x:c r="C118" s="68" t="str">
        <x:v>Full body / Conditioning</x:v>
      </x:c>
      <x:c r="D118" s="68" t="str">
        <x:v>Conditioning</x:v>
      </x:c>
      <x:c r="E118" s="68" t="str">
        <x:v>Medicine ball</x:v>
      </x:c>
      <x:c r="F118" s="68" t="str">
        <x:v>[["Medicine ball"]]</x:v>
      </x:c>
      <x:c r="G118" s="68" t="str">
        <x:v>[]</x:v>
      </x:c>
      <x:c r="H118" s="68" t="str">
        <x:v>Conditioning</x:v>
      </x:c>
      <x:c r="I118" s="68" t="str">
        <x:v>Conditioning</x:v>
      </x:c>
      <x:c r="J118" s="68" t="str"/>
      <x:c r="K118" s="68" t="str">
        <x:v>Maybe</x:v>
      </x:c>
      <x:c r="L118" s="70" t="b">
        <x:v>0</x:v>
      </x:c>
      <x:c r="M118" s="83" t="n">
        <x:v>46222.65625</x:v>
      </x:c>
    </x:row>
    <x:row r="119">
      <x:c r="A119" s="67" t="str">
        <x:v>EX118</x:v>
      </x:c>
      <x:c r="B119" s="68" t="str">
        <x:v>Sandbag carry</x:v>
      </x:c>
      <x:c r="C119" s="68" t="str">
        <x:v>Full body / Grip</x:v>
      </x:c>
      <x:c r="D119" s="68" t="str">
        <x:v>Loaded carry</x:v>
      </x:c>
      <x:c r="E119" s="68" t="str">
        <x:v>Sandbag</x:v>
      </x:c>
      <x:c r="F119" s="68" t="str">
        <x:v>[["Sandbag"]]</x:v>
      </x:c>
      <x:c r="G119" s="68" t="str">
        <x:v>[]</x:v>
      </x:c>
      <x:c r="H119" s="68" t="str">
        <x:v>Loaded carry</x:v>
      </x:c>
      <x:c r="I119" s="68" t="str">
        <x:v>Conditioning</x:v>
      </x:c>
      <x:c r="J119" s="68" t="str"/>
      <x:c r="K119" s="68" t="str">
        <x:v>Maybe</x:v>
      </x:c>
      <x:c r="L119" s="70" t="b">
        <x:v>0</x:v>
      </x:c>
      <x:c r="M119" s="83" t="n">
        <x:v>46222.65625</x:v>
      </x:c>
    </x:row>
    <x:row r="120">
      <x:c r="A120" s="67" t="str">
        <x:v>EX119</x:v>
      </x:c>
      <x:c r="B120" s="68" t="str">
        <x:v>Kettlebell goblet squat</x:v>
      </x:c>
      <x:c r="C120" s="68" t="str">
        <x:v>Quads / Glutes</x:v>
      </x:c>
      <x:c r="D120" s="68" t="str">
        <x:v>Squat</x:v>
      </x:c>
      <x:c r="E120" s="68" t="str">
        <x:v>Kettlebells</x:v>
      </x:c>
      <x:c r="F120" s="68" t="str">
        <x:v>[["Kettlebells"]]</x:v>
      </x:c>
      <x:c r="G120" s="68" t="str">
        <x:v>[]</x:v>
      </x:c>
      <x:c r="H120" s="68" t="str">
        <x:v>Squat</x:v>
      </x:c>
      <x:c r="I120" s="68" t="str">
        <x:v>Substitution</x:v>
      </x:c>
      <x:c r="J120" s="68" t="str"/>
      <x:c r="K120" s="68" t="str">
        <x:v>Yes</x:v>
      </x:c>
      <x:c r="L120" s="70" t="b">
        <x:v>0</x:v>
      </x:c>
      <x:c r="M120" s="83" t="n">
        <x:v>46222.65625</x:v>
      </x:c>
    </x:row>
    <x:row r="121">
      <x:c r="A121" s="67" t="str">
        <x:v>EX120</x:v>
      </x:c>
      <x:c r="B121" s="68" t="str">
        <x:v>Slant-board squat</x:v>
      </x:c>
      <x:c r="C121" s="68" t="str">
        <x:v>Quads</x:v>
      </x:c>
      <x:c r="D121" s="68" t="str">
        <x:v>Squat</x:v>
      </x:c>
      <x:c r="E121" s="68" t="str">
        <x:v>Slant board / heel wedge</x:v>
      </x:c>
      <x:c r="F121" s="68" t="str">
        <x:v>[["Slant board / heel wedge"]]</x:v>
      </x:c>
      <x:c r="G121" s="68" t="str">
        <x:v>["Dumbbells","Kettlebells","Weighted vest"]</x:v>
      </x:c>
      <x:c r="H121" s="68" t="str">
        <x:v>Squat</x:v>
      </x:c>
      <x:c r="I121" s="68" t="str">
        <x:v>Substitution</x:v>
      </x:c>
      <x:c r="J121" s="68" t="str"/>
      <x:c r="K121" s="68" t="str">
        <x:v>Yes</x:v>
      </x:c>
      <x:c r="L121" s="70" t="b">
        <x:v>0</x:v>
      </x:c>
      <x:c r="M121" s="83" t="n">
        <x:v>46222.65625</x:v>
      </x:c>
    </x:row>
    <x:row r="122">
      <x:c r="A122" s="67" t="str">
        <x:v>EX121</x:v>
      </x:c>
      <x:c r="B122" s="68" t="str">
        <x:v>Smith-machine hip thrust</x:v>
      </x:c>
      <x:c r="C122" s="68" t="str">
        <x:v>Glutes / Hamstrings</x:v>
      </x:c>
      <x:c r="D122" s="68" t="str">
        <x:v>Hip extension</x:v>
      </x:c>
      <x:c r="E122" s="68" t="str">
        <x:v>Smith machine + Bench</x:v>
      </x:c>
      <x:c r="F122" s="68" t="str">
        <x:v>[["Smith machine","Bench"]]</x:v>
      </x:c>
      <x:c r="G122" s="68" t="str">
        <x:v>[]</x:v>
      </x:c>
      <x:c r="H122" s="68" t="str">
        <x:v>Hip extension</x:v>
      </x:c>
      <x:c r="I122" s="68" t="str">
        <x:v>Main lift</x:v>
      </x:c>
      <x:c r="J122" s="68" t="str"/>
      <x:c r="K122" s="68" t="str">
        <x:v>Yes</x:v>
      </x:c>
      <x:c r="L122" s="70" t="b">
        <x:v>0</x:v>
      </x:c>
      <x:c r="M122" s="83" t="n">
        <x:v>46222.65625</x:v>
      </x:c>
    </x:row>
    <x:row r="123">
      <x:c r="A123" s="67" t="str">
        <x:v>EX122</x:v>
      </x:c>
      <x:c r="B123" s="68" t="str">
        <x:v>Swiss-bar bench press</x:v>
      </x:c>
      <x:c r="C123" s="68" t="str">
        <x:v>Chest / Triceps</x:v>
      </x:c>
      <x:c r="D123" s="68" t="str">
        <x:v>Horizontal press</x:v>
      </x:c>
      <x:c r="E123" s="68" t="str">
        <x:v>Power rack / squat stands + Swiss / football bar + Barbell plates + Bench</x:v>
      </x:c>
      <x:c r="F123" s="68" t="str">
        <x:v>[["Power rack / squat stands","Swiss / football bar","Barbell plates","Bench"]]</x:v>
      </x:c>
      <x:c r="G123" s="68" t="str">
        <x:v>[]</x:v>
      </x:c>
      <x:c r="H123" s="68" t="str">
        <x:v>Horizontal press</x:v>
      </x:c>
      <x:c r="I123" s="68" t="str">
        <x:v>Main lift</x:v>
      </x:c>
      <x:c r="J123" s="68" t="str">
        <x:v>Neutral grips may be shoulder friendly.</x:v>
      </x:c>
      <x:c r="K123" s="68" t="str">
        <x:v>Yes</x:v>
      </x:c>
      <x:c r="L123" s="70" t="b">
        <x:v>0</x:v>
      </x:c>
      <x:c r="M123" s="83" t="n">
        <x:v>46222.65625</x:v>
      </x:c>
    </x:row>
    <x:row r="124">
      <x:c r="A124" s="67" t="str">
        <x:v>EX123</x:v>
      </x:c>
      <x:c r="B124" s="68" t="str">
        <x:v>Band Pallof press</x:v>
      </x:c>
      <x:c r="C124" s="68" t="str">
        <x:v>Core</x:v>
      </x:c>
      <x:c r="D124" s="68" t="str">
        <x:v>Anti-rotation</x:v>
      </x:c>
      <x:c r="E124" s="68" t="str">
        <x:v>Resistance bands / tubes + Secure band anchor</x:v>
      </x:c>
      <x:c r="F124" s="68" t="str">
        <x:v>[["Resistance bands / tubes","Secure band anchor"]]</x:v>
      </x:c>
      <x:c r="G124" s="68" t="str">
        <x:v>[]</x:v>
      </x:c>
      <x:c r="H124" s="68" t="str">
        <x:v>Core</x:v>
      </x:c>
      <x:c r="I124" s="68" t="str">
        <x:v>Substitution</x:v>
      </x:c>
      <x:c r="J124" s="68" t="str"/>
      <x:c r="K124" s="68" t="str">
        <x:v>Yes</x:v>
      </x:c>
      <x:c r="L124" s="70" t="b">
        <x:v>0</x:v>
      </x:c>
      <x:c r="M124" s="83" t="n">
        <x:v>46222.65625</x:v>
      </x:c>
    </x:row>
    <x:row r="125">
      <x:c r="A125" s="67" t="str">
        <x:v>EX124</x:v>
      </x:c>
      <x:c r="B125" s="68" t="str">
        <x:v>Dead bug or Pallof press</x:v>
      </x:c>
      <x:c r="C125" s="68" t="str">
        <x:v>Core</x:v>
      </x:c>
      <x:c r="D125" s="68" t="str">
        <x:v>Anti-extension / anti-rotation</x:v>
      </x:c>
      <x:c r="E125" s="68" t="str">
        <x:v>Bodyweight / floor space OR Cable station OR Resistance bands / tubes + Secure band anchor</x:v>
      </x:c>
      <x:c r="F125" s="68" t="str">
        <x:v>[["Bodyweight / floor space"],["Cable station"],["Resistance bands / tubes","Secure band anchor"]]</x:v>
      </x:c>
      <x:c r="G125" s="68" t="str">
        <x:v>[]</x:v>
      </x:c>
      <x:c r="H125" s="68" t="str">
        <x:v>Core</x:v>
      </x:c>
      <x:c r="I125" s="68" t="str">
        <x:v>Substitution</x:v>
      </x:c>
      <x:c r="J125" s="68" t="str"/>
      <x:c r="K125" s="68" t="str">
        <x:v>Yes</x:v>
      </x:c>
      <x:c r="L125" s="70" t="b">
        <x:v>0</x:v>
      </x:c>
      <x:c r="M125" s="83" t="n">
        <x:v>46222.65625</x:v>
      </x:c>
    </x:row>
    <x:row r="126">
      <x:c r="A126" s="67" t="str">
        <x:v>EX125</x:v>
      </x:c>
      <x:c r="B126" s="68" t="str">
        <x:v>Cable lat pulldown or ring chin-up</x:v>
      </x:c>
      <x:c r="C126" s="68" t="str">
        <x:v>Lats / Biceps</x:v>
      </x:c>
      <x:c r="D126" s="68" t="str">
        <x:v>Vertical pull</x:v>
      </x:c>
      <x:c r="E126" s="68" t="str">
        <x:v>Cable station OR Lat pulldown / low row machine OR Gymnastic rings / suspension trainer</x:v>
      </x:c>
      <x:c r="F126" s="68" t="str">
        <x:v>[["Cable station"],["Lat pulldown / low row machine"],["Gymnastic rings / suspension trainer"]]</x:v>
      </x:c>
      <x:c r="G126" s="68" t="str">
        <x:v>[]</x:v>
      </x:c>
      <x:c r="H126" s="68" t="str">
        <x:v>Vertical pull</x:v>
      </x:c>
      <x:c r="I126" s="68" t="str">
        <x:v>Substitution</x:v>
      </x:c>
      <x:c r="J126" s="68" t="str"/>
      <x:c r="K126" s="68" t="str">
        <x:v>Yes</x:v>
      </x:c>
      <x:c r="L126" s="70" t="b">
        <x:v>0</x:v>
      </x:c>
      <x:c r="M126" s="83" t="n">
        <x:v>46222.65625</x:v>
      </x:c>
    </x:row>
    <x:row r="127">
      <x:c r="A127" s="67" t="str">
        <x:v>EX126</x:v>
      </x:c>
      <x:c r="B127" s="68" t="str">
        <x:v>Incline dumbbell or cable curl</x:v>
      </x:c>
      <x:c r="C127" s="68" t="str">
        <x:v>Biceps</x:v>
      </x:c>
      <x:c r="D127" s="68" t="str">
        <x:v>Elbow flexion</x:v>
      </x:c>
      <x:c r="E127" s="68" t="str">
        <x:v>Dumbbells + Adjustable bench OR Cable station</x:v>
      </x:c>
      <x:c r="F127" s="68" t="str">
        <x:v>[["Dumbbells","Adjustable bench"],["Cable station"]]</x:v>
      </x:c>
      <x:c r="G127" s="68" t="str">
        <x:v>[]</x:v>
      </x:c>
      <x:c r="H127" s="68" t="str">
        <x:v>Elbow flexion</x:v>
      </x:c>
      <x:c r="I127" s="68" t="str">
        <x:v>Isolation</x:v>
      </x:c>
      <x:c r="J127" s="68" t="str"/>
      <x:c r="K127" s="68" t="str">
        <x:v>Yes</x:v>
      </x:c>
      <x:c r="L127" s="70" t="b">
        <x:v>0</x:v>
      </x:c>
      <x:c r="M127" s="83" t="n">
        <x:v>46222.65625</x:v>
      </x:c>
    </x:row>
    <x:row r="128">
      <x:c r="A128" s="67" t="str">
        <x:v>EX127</x:v>
      </x:c>
      <x:c r="B128" s="68" t="str">
        <x:v>Front squat or heels-elevated squat</x:v>
      </x:c>
      <x:c r="C128" s="68" t="str">
        <x:v>Quads / Glutes</x:v>
      </x:c>
      <x:c r="D128" s="68" t="str">
        <x:v>Squat</x:v>
      </x:c>
      <x:c r="E128" s="68" t="str">
        <x:v>Power rack / squat stands + Barbell + plates OR Dumbbells</x:v>
      </x:c>
      <x:c r="F128" s="68" t="str">
        <x:v>[["Power rack / squat stands","Barbell + plates"],["Dumbbells"]]</x:v>
      </x:c>
      <x:c r="G128" s="68" t="str">
        <x:v>["Slant board / heel wedge"]</x:v>
      </x:c>
      <x:c r="H128" s="68" t="str">
        <x:v>Squat</x:v>
      </x:c>
      <x:c r="I128" s="68" t="str">
        <x:v>Main lift</x:v>
      </x:c>
      <x:c r="J128" s="68" t="str"/>
      <x:c r="K128" s="68" t="str">
        <x:v>Yes</x:v>
      </x:c>
      <x:c r="L128" s="70" t="b">
        <x:v>0</x:v>
      </x:c>
      <x:c r="M128" s="83" t="n">
        <x:v>46222.65625</x:v>
      </x:c>
    </x:row>
    <x:row r="129">
      <x:c r="A129" s="67" t="str">
        <x:v>EX128</x:v>
      </x:c>
      <x:c r="B129" s="68" t="str">
        <x:v>Ab wheel or cable crunch</x:v>
      </x:c>
      <x:c r="C129" s="68" t="str">
        <x:v>Abs / Core</x:v>
      </x:c>
      <x:c r="D129" s="68" t="str">
        <x:v>Core</x:v>
      </x:c>
      <x:c r="E129" s="68" t="str">
        <x:v>Ab wheel OR Cable station</x:v>
      </x:c>
      <x:c r="F129" s="68" t="str">
        <x:v>[["Ab wheel"],["Cable station"]]</x:v>
      </x:c>
      <x:c r="G129" s="68" t="str">
        <x:v>[]</x:v>
      </x:c>
      <x:c r="H129" s="68" t="str">
        <x:v>Core</x:v>
      </x:c>
      <x:c r="I129" s="68" t="str">
        <x:v>Substitution</x:v>
      </x:c>
      <x:c r="J129" s="68" t="str"/>
      <x:c r="K129" s="68" t="str">
        <x:v>Yes</x:v>
      </x:c>
      <x:c r="L129" s="70" t="b">
        <x:v>0</x:v>
      </x:c>
      <x:c r="M129" s="83" t="n">
        <x:v>46222.65625</x:v>
      </x:c>
    </x:row>
    <x:row r="130">
      <x:c r="A130" s="67" t="str">
        <x:v>EX129</x:v>
      </x:c>
      <x:c r="B130" s="68" t="str">
        <x:v>Weighted chin-up or heavy pulldown</x:v>
      </x:c>
      <x:c r="C130" s="68" t="str">
        <x:v>Lats / Biceps</x:v>
      </x:c>
      <x:c r="D130" s="68" t="str">
        <x:v>Vertical pull</x:v>
      </x:c>
      <x:c r="E130" s="68" t="str">
        <x:v>Pull-up bar + Dip belt / loading belt OR Cable station OR Lat pulldown / low row machine</x:v>
      </x:c>
      <x:c r="F130" s="68" t="str">
        <x:v>[["Pull-up bar","Dip belt / loading belt"],["Cable station"],["Lat pulldown / low row machine"]]</x:v>
      </x:c>
      <x:c r="G130" s="68" t="str">
        <x:v>[]</x:v>
      </x:c>
      <x:c r="H130" s="68" t="str">
        <x:v>Vertical pull</x:v>
      </x:c>
      <x:c r="I130" s="68" t="str">
        <x:v>Main lift</x:v>
      </x:c>
      <x:c r="J130" s="68" t="str"/>
      <x:c r="K130" s="68" t="str">
        <x:v>Yes</x:v>
      </x:c>
      <x:c r="L130" s="70" t="b">
        <x:v>0</x:v>
      </x:c>
      <x:c r="M130" s="83" t="n">
        <x:v>46222.65625</x:v>
      </x:c>
    </x:row>
    <x:row r="131">
      <x:c r="A131" s="67" t="str">
        <x:v>EX130</x:v>
      </x:c>
      <x:c r="B131" s="68" t="str">
        <x:v>Close-grip bench press or weighted ring push-up</x:v>
      </x:c>
      <x:c r="C131" s="68" t="str">
        <x:v>Triceps / Chest</x:v>
      </x:c>
      <x:c r="D131" s="68" t="str">
        <x:v>Horizontal press</x:v>
      </x:c>
      <x:c r="E131" s="68" t="str">
        <x:v>Power rack / squat stands + Barbell + plates + Bench OR Gymnastic rings / suspension trainer</x:v>
      </x:c>
      <x:c r="F131" s="68" t="str">
        <x:v>[["Power rack / squat stands","Barbell + plates","Bench"],["Gymnastic rings / suspension trainer"]]</x:v>
      </x:c>
      <x:c r="G131" s="68" t="str">
        <x:v>[]</x:v>
      </x:c>
      <x:c r="H131" s="68" t="str">
        <x:v>Horizontal press</x:v>
      </x:c>
      <x:c r="I131" s="68" t="str">
        <x:v>Substitution</x:v>
      </x:c>
      <x:c r="J131" s="68" t="str"/>
      <x:c r="K131" s="68" t="str">
        <x:v>Yes</x:v>
      </x:c>
      <x:c r="L131" s="70" t="b">
        <x:v>0</x:v>
      </x:c>
      <x:c r="M131" s="83" t="n">
        <x:v>46222.65625</x:v>
      </x:c>
    </x:row>
    <x:row r="132">
      <x:c r="A132" s="67" t="str">
        <x:v>EX131</x:v>
      </x:c>
      <x:c r="B132" s="68" t="str">
        <x:v>Cable rear-delt fly or face pull</x:v>
      </x:c>
      <x:c r="C132" s="68" t="str">
        <x:v>Rear delts / Upper back</x:v>
      </x:c>
      <x:c r="D132" s="68" t="str">
        <x:v>Rear delt</x:v>
      </x:c>
      <x:c r="E132" s="68" t="str">
        <x:v>Cable station OR Cable station + Rope cable attachment</x:v>
      </x:c>
      <x:c r="F132" s="68" t="str">
        <x:v>[["Cable station"],["Cable station","Rope cable attachment"]]</x:v>
      </x:c>
      <x:c r="G132" s="68" t="str">
        <x:v>[]</x:v>
      </x:c>
      <x:c r="H132" s="68" t="str">
        <x:v>Rear delt</x:v>
      </x:c>
      <x:c r="I132" s="68" t="str">
        <x:v>Isolation</x:v>
      </x:c>
      <x:c r="J132" s="68" t="str"/>
      <x:c r="K132" s="68" t="str">
        <x:v>Yes</x:v>
      </x:c>
      <x:c r="L132" s="70" t="b">
        <x:v>0</x:v>
      </x:c>
      <x:c r="M132" s="83" t="n">
        <x:v>46222.65625</x:v>
      </x:c>
    </x:row>
    <x:row r="133">
      <x:c r="A133" s="67" t="str">
        <x:v>EX132</x:v>
      </x:c>
      <x:c r="B133" s="68" t="str">
        <x:v>Romanian deadlift or hip thrust</x:v>
      </x:c>
      <x:c r="C133" s="68" t="str">
        <x:v>Hamstrings / Glutes</x:v>
      </x:c>
      <x:c r="D133" s="68" t="str">
        <x:v>Hip hinge / extension</x:v>
      </x:c>
      <x:c r="E133" s="68" t="str">
        <x:v>Barbell + plates OR Dumbbells OR Kettlebells OR Barbell + plates + Bench OR Smith machine + Bench</x:v>
      </x:c>
      <x:c r="F133" s="68" t="str">
        <x:v>[["Barbell + plates"],["Dumbbells"],["Kettlebells"],["Barbell + plates","Bench"],["Smith machine","Bench"]]</x:v>
      </x:c>
      <x:c r="G133" s="68" t="str">
        <x:v>[]</x:v>
      </x:c>
      <x:c r="H133" s="68" t="str">
        <x:v>Hip hinge</x:v>
      </x:c>
      <x:c r="I133" s="68" t="str">
        <x:v>Main lift</x:v>
      </x:c>
      <x:c r="J133" s="68" t="str"/>
      <x:c r="K133" s="68" t="str">
        <x:v>Yes</x:v>
      </x:c>
      <x:c r="L133" s="70" t="b">
        <x:v>0</x:v>
      </x:c>
      <x:c r="M133" s="83" t="n">
        <x:v>46222.65625</x:v>
      </x:c>
    </x:row>
    <x:row r="134">
      <x:c r="A134" s="67" t="str">
        <x:v>EX133</x:v>
      </x:c>
      <x:c r="B134" s="68" t="str">
        <x:v>Front squat or Bulgarian split squat</x:v>
      </x:c>
      <x:c r="C134" s="68" t="str">
        <x:v>Quads / Glutes</x:v>
      </x:c>
      <x:c r="D134" s="68" t="str">
        <x:v>Squat / single-leg</x:v>
      </x:c>
      <x:c r="E134" s="68" t="str">
        <x:v>Power rack / squat stands + Barbell + plates OR Bench or box</x:v>
      </x:c>
      <x:c r="F134" s="68" t="str">
        <x:v>[["Power rack / squat stands","Barbell + plates"],["Bench or box"]]</x:v>
      </x:c>
      <x:c r="G134" s="68" t="str">
        <x:v>["Dumbbells"]</x:v>
      </x:c>
      <x:c r="H134" s="68" t="str">
        <x:v>Squat</x:v>
      </x:c>
      <x:c r="I134" s="68" t="str">
        <x:v>Main lift</x:v>
      </x:c>
      <x:c r="J134" s="68" t="str"/>
      <x:c r="K134" s="68" t="str">
        <x:v>Yes</x:v>
      </x:c>
      <x:c r="L134" s="70" t="b">
        <x:v>0</x:v>
      </x:c>
      <x:c r="M134" s="83" t="n">
        <x:v>46222.65625</x:v>
      </x:c>
    </x:row>
    <x:row r="135">
      <x:c r="A135" s="67" t="str">
        <x:v>EX134</x:v>
      </x:c>
      <x:c r="B135" s="68" t="str">
        <x:v>Pulldown or chin-up</x:v>
      </x:c>
      <x:c r="C135" s="68" t="str">
        <x:v>Lats / Biceps</x:v>
      </x:c>
      <x:c r="D135" s="68" t="str">
        <x:v>Vertical pull</x:v>
      </x:c>
      <x:c r="E135" s="68" t="str">
        <x:v>Cable station OR Lat pulldown / low row machine OR Pull-up bar OR Gymnastic rings / suspension trainer</x:v>
      </x:c>
      <x:c r="F135" s="68" t="str">
        <x:v>[["Cable station"],["Lat pulldown / low row machine"],["Pull-up bar"],["Gymnastic rings / suspension trainer"]]</x:v>
      </x:c>
      <x:c r="G135" s="68" t="str">
        <x:v>[]</x:v>
      </x:c>
      <x:c r="H135" s="68" t="str">
        <x:v>Vertical pull</x:v>
      </x:c>
      <x:c r="I135" s="68" t="str">
        <x:v>Substitution</x:v>
      </x:c>
      <x:c r="J135" s="68" t="str"/>
      <x:c r="K135" s="68" t="str">
        <x:v>Yes</x:v>
      </x:c>
      <x:c r="L135" s="70" t="b">
        <x:v>0</x:v>
      </x:c>
      <x:c r="M135" s="83" t="n">
        <x:v>46222.65625</x:v>
      </x:c>
    </x:row>
    <x:row r="136">
      <x:c r="A136" s="67" t="str">
        <x:v>EX135</x:v>
      </x:c>
      <x:c r="B136" s="68" t="str">
        <x:v>Hip thrust or cable leg curl</x:v>
      </x:c>
      <x:c r="C136" s="68" t="str">
        <x:v>Glutes / Hamstrings</x:v>
      </x:c>
      <x:c r="D136" s="68" t="str">
        <x:v>Hip extension / knee flexion</x:v>
      </x:c>
      <x:c r="E136" s="68" t="str">
        <x:v>Barbell + plates + Bench OR Smith machine + Bench OR Cable station + Ankle strap OR Leg curl machine</x:v>
      </x:c>
      <x:c r="F136" s="68" t="str">
        <x:v>[["Barbell + plates","Bench"],["Smith machine","Bench"],["Cable station","Ankle strap"],["Leg curl machine"]]</x:v>
      </x:c>
      <x:c r="G136" s="68" t="str">
        <x:v>[]</x:v>
      </x:c>
      <x:c r="H136" s="68" t="str">
        <x:v>Hip extension</x:v>
      </x:c>
      <x:c r="I136" s="68" t="str">
        <x:v>Substitution</x:v>
      </x:c>
      <x:c r="J136" s="68" t="str"/>
      <x:c r="K136" s="68" t="str">
        <x:v>Yes</x:v>
      </x:c>
      <x:c r="L136" s="70" t="b">
        <x:v>0</x:v>
      </x:c>
      <x:c r="M136" s="83" t="n">
        <x:v>46222.65625</x:v>
      </x:c>
    </x:row>
    <x:row r="137">
      <x:c r="A137" s="67" t="str">
        <x:v>EX136</x:v>
      </x:c>
      <x:c r="B137" s="68" t="str">
        <x:v>Hammer curl</x:v>
      </x:c>
      <x:c r="C137" s="68" t="str">
        <x:v>Biceps / Brachialis</x:v>
      </x:c>
      <x:c r="D137" s="68" t="str">
        <x:v>Elbow flexion</x:v>
      </x:c>
      <x:c r="E137" s="68" t="str">
        <x:v>Dumbbells OR Cable station OR Resistance bands / tubes</x:v>
      </x:c>
      <x:c r="F137" s="68" t="str">
        <x:v>[["Dumbbells"],["Cable station"],["Resistance bands / tubes"]]</x:v>
      </x:c>
      <x:c r="G137" s="68" t="str">
        <x:v>[]</x:v>
      </x:c>
      <x:c r="H137" s="68" t="str">
        <x:v>Elbow flexion</x:v>
      </x:c>
      <x:c r="I137" s="68" t="str">
        <x:v>Isolation</x:v>
      </x:c>
      <x:c r="J137" s="68" t="str"/>
      <x:c r="K137" s="68" t="str">
        <x:v>Yes</x:v>
      </x:c>
      <x:c r="L137" s="70" t="b">
        <x:v>0</x:v>
      </x:c>
      <x:c r="M137" s="83" t="n">
        <x:v>46222.65625</x:v>
      </x:c>
    </x:row>
    <x:row r="138">
      <x:c r="A138" s="77" t="str">
        <x:v>EX137</x:v>
      </x:c>
      <x:c r="B138" s="78" t="str">
        <x:v>Overhead triceps extension</x:v>
      </x:c>
      <x:c r="C138" s="78" t="str">
        <x:v>Triceps long head</x:v>
      </x:c>
      <x:c r="D138" s="78" t="str">
        <x:v>Elbow extension</x:v>
      </x:c>
      <x:c r="E138" s="78" t="str">
        <x:v>Cable station + Rope cable attachment OR Dumbbells OR EZ curl bar + Barbell plates + Bench OR Resistance bands / tubes + High band anchor</x:v>
      </x:c>
      <x:c r="F138" s="78" t="str">
        <x:v>[["Cable station","Rope cable attachment"],["Dumbbells"],["EZ curl bar","Barbell plates","Bench"],["Resistance bands / tubes","High band anchor"]]</x:v>
      </x:c>
      <x:c r="G138" s="78" t="str">
        <x:v>[]</x:v>
      </x:c>
      <x:c r="H138" s="78" t="str">
        <x:v>Elbow extension</x:v>
      </x:c>
      <x:c r="I138" s="78" t="str">
        <x:v>Isolation</x:v>
      </x:c>
      <x:c r="J138" s="78" t="str"/>
      <x:c r="K138" s="78" t="str">
        <x:v>Yes</x:v>
      </x:c>
      <x:c r="L138" s="81" t="b">
        <x:v>0</x:v>
      </x:c>
      <x:c r="M138" s="84" t="n">
        <x:v>46222.65625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34" hidden="0" customWidth="1"/>
    <x:col min="3" max="3" width="32" hidden="0" customWidth="1"/>
    <x:col min="4" max="4" width="24" hidden="0" customWidth="1"/>
    <x:col min="5" max="5" width="42" hidden="0" customWidth="1"/>
    <x:col min="6" max="6" width="20" hidden="0" customWidth="1"/>
    <x:col min="8" max="8" width="24" hidden="0" customWidth="1"/>
    <x:col min="17" max="17" width="24" hidden="0" customWidth="1"/>
    <x:col min="18" max="18" width="24" hidden="0" customWidth="1"/>
  </x:cols>
  <x:sheetData>
    <x:row r="1" ht="30" customHeight="1">
      <x:c r="A1" s="63" t="str">
        <x:v>AlternativeID</x:v>
      </x:c>
      <x:c r="B1" s="63" t="str">
        <x:v>DefaultExercise</x:v>
      </x:c>
      <x:c r="C1" s="63" t="str">
        <x:v>Alternative</x:v>
      </x:c>
      <x:c r="D1" s="63" t="str">
        <x:v>Reason</x:v>
      </x:c>
      <x:c r="E1" s="63" t="str">
        <x:v>Notes</x:v>
      </x:c>
      <x:c r="F1" s="63" t="str">
        <x:v>UpdatedAt</x:v>
      </x:c>
    </x:row>
    <x:row r="2">
      <x:c r="A2" s="64" t="str">
        <x:v>ALT001</x:v>
      </x:c>
      <x:c r="B2" s="65" t="str">
        <x:v>High-bar back squat</x:v>
      </x:c>
      <x:c r="C2" s="65" t="str">
        <x:v>Front squat</x:v>
      </x:c>
      <x:c r="D2" s="65" t="str">
        <x:v>Back feels taxed</x:v>
      </x:c>
      <x:c r="E2" s="65" t="str">
        <x:v>More upright torso.</x:v>
      </x:c>
      <x:c r="F2" s="82" t="n">
        <x:v>46222.416666666664</x:v>
      </x:c>
    </x:row>
    <x:row r="3">
      <x:c r="A3" s="67" t="str">
        <x:v>ALT002</x:v>
      </x:c>
      <x:c r="B3" s="68" t="str">
        <x:v>High-bar back squat</x:v>
      </x:c>
      <x:c r="C3" s="68" t="str">
        <x:v>Heels-elevated squat</x:v>
      </x:c>
      <x:c r="D3" s="68" t="str">
        <x:v>Need more quad bias</x:v>
      </x:c>
      <x:c r="E3" s="68" t="str">
        <x:v>Can use dumbbells or barbell.</x:v>
      </x:c>
      <x:c r="F3" s="83" t="n">
        <x:v>46222.416666666664</x:v>
      </x:c>
    </x:row>
    <x:row r="4">
      <x:c r="A4" s="67" t="str">
        <x:v>ALT003</x:v>
      </x:c>
      <x:c r="B4" s="68" t="str">
        <x:v>High-bar back squat</x:v>
      </x:c>
      <x:c r="C4" s="68" t="str">
        <x:v>Box squat</x:v>
      </x:c>
      <x:c r="D4" s="68" t="str">
        <x:v>Need controlled depth</x:v>
      </x:c>
      <x:c r="E4" s="68" t="str">
        <x:v>Use safety pins and a stable box.</x:v>
      </x:c>
      <x:c r="F4" s="83" t="n">
        <x:v>46222.416666666664</x:v>
      </x:c>
    </x:row>
    <x:row r="5">
      <x:c r="A5" s="67" t="str">
        <x:v>ALT004</x:v>
      </x:c>
      <x:c r="B5" s="68" t="str">
        <x:v>High-bar back squat</x:v>
      </x:c>
      <x:c r="C5" s="68" t="str">
        <x:v>Goblet squat</x:v>
      </x:c>
      <x:c r="D5" s="68" t="str">
        <x:v>Deload or warm-up</x:v>
      </x:c>
      <x:c r="E5" s="68" t="str">
        <x:v>Lower loading.</x:v>
      </x:c>
      <x:c r="F5" s="83" t="n">
        <x:v>46222.416666666664</x:v>
      </x:c>
    </x:row>
    <x:row r="6">
      <x:c r="A6" s="67" t="str">
        <x:v>ALT005</x:v>
      </x:c>
      <x:c r="B6" s="68" t="str">
        <x:v>Front squat or heels-elevated squat</x:v>
      </x:c>
      <x:c r="C6" s="68" t="str">
        <x:v>High-bar back squat</x:v>
      </x:c>
      <x:c r="D6" s="68" t="str">
        <x:v>Front rack uncomfortable</x:v>
      </x:c>
      <x:c r="E6" s="68" t="str">
        <x:v>Return to standard squat if back tolerates it.</x:v>
      </x:c>
      <x:c r="F6" s="83" t="n">
        <x:v>46222.416666666664</x:v>
      </x:c>
    </x:row>
    <x:row r="7">
      <x:c r="A7" s="67" t="str">
        <x:v>ALT006</x:v>
      </x:c>
      <x:c r="B7" s="68" t="str">
        <x:v>Front squat or heels-elevated squat</x:v>
      </x:c>
      <x:c r="C7" s="68" t="str">
        <x:v>Bulgarian split squat</x:v>
      </x:c>
      <x:c r="D7" s="68" t="str">
        <x:v>Back-sensitive day</x:v>
      </x:c>
      <x:c r="E7" s="68" t="str">
        <x:v>Hard leg stimulus with less spinal loading.</x:v>
      </x:c>
      <x:c r="F7" s="83" t="n">
        <x:v>46222.416666666664</x:v>
      </x:c>
    </x:row>
    <x:row r="8">
      <x:c r="A8" s="67" t="str">
        <x:v>ALT007</x:v>
      </x:c>
      <x:c r="B8" s="68" t="str">
        <x:v>Romanian deadlift</x:v>
      </x:c>
      <x:c r="C8" s="68" t="str">
        <x:v>Barbell hip thrust</x:v>
      </x:c>
      <x:c r="D8" s="68" t="str">
        <x:v>Lower back discomfort</x:v>
      </x:c>
      <x:c r="E8" s="68" t="str">
        <x:v>Default replacement.</x:v>
      </x:c>
      <x:c r="F8" s="83" t="n">
        <x:v>46222.416666666664</x:v>
      </x:c>
    </x:row>
    <x:row r="9">
      <x:c r="A9" s="67" t="str">
        <x:v>ALT008</x:v>
      </x:c>
      <x:c r="B9" s="68" t="str">
        <x:v>Romanian deadlift</x:v>
      </x:c>
      <x:c r="C9" s="68" t="str">
        <x:v>Cable pull-through</x:v>
      </x:c>
      <x:c r="D9" s="68" t="str">
        <x:v>Lower back discomfort</x:v>
      </x:c>
      <x:c r="E9" s="68" t="str">
        <x:v>Cable hinge pattern.</x:v>
      </x:c>
      <x:c r="F9" s="83" t="n">
        <x:v>46222.416666666664</x:v>
      </x:c>
    </x:row>
    <x:row r="10">
      <x:c r="A10" s="67" t="str">
        <x:v>ALT009</x:v>
      </x:c>
      <x:c r="B10" s="68" t="str">
        <x:v>Romanian deadlift</x:v>
      </x:c>
      <x:c r="C10" s="68" t="str">
        <x:v>Dumbbell Romanian deadlift</x:v>
      </x:c>
      <x:c r="D10" s="68" t="str">
        <x:v>Technique practice</x:v>
      </x:c>
      <x:c r="E10" s="68" t="str">
        <x:v>Smaller load increments.</x:v>
      </x:c>
      <x:c r="F10" s="83" t="n">
        <x:v>46222.416666666664</x:v>
      </x:c>
    </x:row>
    <x:row r="11">
      <x:c r="A11" s="67" t="str">
        <x:v>ALT010</x:v>
      </x:c>
      <x:c r="B11" s="68" t="str">
        <x:v>Romanian deadlift or hip thrust</x:v>
      </x:c>
      <x:c r="C11" s="68" t="str">
        <x:v>Barbell hip thrust</x:v>
      </x:c>
      <x:c r="D11" s="68" t="str">
        <x:v>RFL fatigue</x:v>
      </x:c>
      <x:c r="E11" s="68" t="str">
        <x:v>Back-friendly option.</x:v>
      </x:c>
      <x:c r="F11" s="83" t="n">
        <x:v>46222.416666666664</x:v>
      </x:c>
    </x:row>
    <x:row r="12">
      <x:c r="A12" s="67" t="str">
        <x:v>ALT011</x:v>
      </x:c>
      <x:c r="B12" s="68" t="str">
        <x:v>Romanian deadlift or hip thrust</x:v>
      </x:c>
      <x:c r="C12" s="68" t="str">
        <x:v>Cable pull-through</x:v>
      </x:c>
      <x:c r="D12" s="68" t="str">
        <x:v>Back-sensitive day</x:v>
      </x:c>
      <x:c r="E12" s="68" t="str">
        <x:v>Keep RIR 2-3.</x:v>
      </x:c>
      <x:c r="F12" s="83" t="n">
        <x:v>46222.416666666664</x:v>
      </x:c>
    </x:row>
    <x:row r="13">
      <x:c r="A13" s="67" t="str">
        <x:v>ALT012</x:v>
      </x:c>
      <x:c r="B13" s="68" t="str">
        <x:v>Barbell hip thrust</x:v>
      </x:c>
      <x:c r="C13" s="68" t="str">
        <x:v>Cable pull-through</x:v>
      </x:c>
      <x:c r="D13" s="68" t="str">
        <x:v>Bench setup unavailable</x:v>
      </x:c>
      <x:c r="E13" s="68" t="str">
        <x:v>Good cable substitute.</x:v>
      </x:c>
      <x:c r="F13" s="83" t="n">
        <x:v>46222.416666666664</x:v>
      </x:c>
    </x:row>
    <x:row r="14">
      <x:c r="A14" s="67" t="str">
        <x:v>ALT013</x:v>
      </x:c>
      <x:c r="B14" s="68" t="str">
        <x:v>Barbell bench press</x:v>
      </x:c>
      <x:c r="C14" s="68" t="str">
        <x:v>Dumbbell bench press</x:v>
      </x:c>
      <x:c r="D14" s="68" t="str">
        <x:v>Shoulder comfort</x:v>
      </x:c>
      <x:c r="E14" s="68" t="str">
        <x:v>Greater freedom of movement.</x:v>
      </x:c>
      <x:c r="F14" s="83" t="n">
        <x:v>46222.416666666664</x:v>
      </x:c>
    </x:row>
    <x:row r="15">
      <x:c r="A15" s="67" t="str">
        <x:v>ALT014</x:v>
      </x:c>
      <x:c r="B15" s="68" t="str">
        <x:v>Barbell bench press</x:v>
      </x:c>
      <x:c r="C15" s="68" t="str">
        <x:v>Floor press</x:v>
      </x:c>
      <x:c r="D15" s="68" t="str">
        <x:v>Shoulder range limitation</x:v>
      </x:c>
      <x:c r="E15" s="68" t="str">
        <x:v>Reduced bottom range.</x:v>
      </x:c>
      <x:c r="F15" s="83" t="n">
        <x:v>46222.416666666664</x:v>
      </x:c>
    </x:row>
    <x:row r="16">
      <x:c r="A16" s="67" t="str">
        <x:v>ALT015</x:v>
      </x:c>
      <x:c r="B16" s="68" t="str">
        <x:v>Barbell bench press</x:v>
      </x:c>
      <x:c r="C16" s="68" t="str">
        <x:v>Weighted ring push-up</x:v>
      </x:c>
      <x:c r="D16" s="68" t="str">
        <x:v>Want shoulder-friendly press</x:v>
      </x:c>
      <x:c r="E16" s="68" t="str">
        <x:v>Progress with load/body angle.</x:v>
      </x:c>
      <x:c r="F16" s="83" t="n">
        <x:v>46222.416666666664</x:v>
      </x:c>
    </x:row>
    <x:row r="17">
      <x:c r="A17" s="67" t="str">
        <x:v>ALT016</x:v>
      </x:c>
      <x:c r="B17" s="68" t="str">
        <x:v>Incline dumbbell press</x:v>
      </x:c>
      <x:c r="C17" s="68" t="str">
        <x:v>Dumbbell bench press</x:v>
      </x:c>
      <x:c r="D17" s="68" t="str">
        <x:v>Incline setup unavailable</x:v>
      </x:c>
      <x:c r="E17" s="68" t="str">
        <x:v>Flat press substitute.</x:v>
      </x:c>
      <x:c r="F17" s="83" t="n">
        <x:v>46222.416666666664</x:v>
      </x:c>
    </x:row>
    <x:row r="18">
      <x:c r="A18" s="67" t="str">
        <x:v>ALT017</x:v>
      </x:c>
      <x:c r="B18" s="68" t="str">
        <x:v>Incline dumbbell or seated dumbbell press</x:v>
      </x:c>
      <x:c r="C18" s="68" t="str">
        <x:v>Seated dumbbell overhead press</x:v>
      </x:c>
      <x:c r="D18" s="68" t="str">
        <x:v>Prefer vertical press</x:v>
      </x:c>
      <x:c r="E18" s="68" t="str">
        <x:v>RFL press slot.</x:v>
      </x:c>
      <x:c r="F18" s="83" t="n">
        <x:v>46222.416666666664</x:v>
      </x:c>
    </x:row>
    <x:row r="19">
      <x:c r="A19" s="67" t="str">
        <x:v>ALT018</x:v>
      </x:c>
      <x:c r="B19" s="68" t="str">
        <x:v>Incline dumbbell or seated dumbbell press</x:v>
      </x:c>
      <x:c r="C19" s="68" t="str">
        <x:v>Incline dumbbell press</x:v>
      </x:c>
      <x:c r="D19" s="68" t="str">
        <x:v>Prefer chest emphasis</x:v>
      </x:c>
      <x:c r="E19" s="68" t="str">
        <x:v>RFL press slot.</x:v>
      </x:c>
      <x:c r="F19" s="83" t="n">
        <x:v>46222.416666666664</x:v>
      </x:c>
    </x:row>
    <x:row r="20">
      <x:c r="A20" s="67" t="str">
        <x:v>ALT019</x:v>
      </x:c>
      <x:c r="B20" s="68" t="str">
        <x:v>Chest-supported dumbbell row</x:v>
      </x:c>
      <x:c r="C20" s="68" t="str">
        <x:v>Seated cable row</x:v>
      </x:c>
      <x:c r="D20" s="68" t="str">
        <x:v>Bench unavailable</x:v>
      </x:c>
      <x:c r="E20" s="68" t="str">
        <x:v>Stable cable row.</x:v>
      </x:c>
      <x:c r="F20" s="83" t="n">
        <x:v>46222.416666666664</x:v>
      </x:c>
    </x:row>
    <x:row r="21">
      <x:c r="A21" s="67" t="str">
        <x:v>ALT020</x:v>
      </x:c>
      <x:c r="B21" s="68" t="str">
        <x:v>Chest-supported dumbbell row</x:v>
      </x:c>
      <x:c r="C21" s="68" t="str">
        <x:v>One-arm cable row</x:v>
      </x:c>
      <x:c r="D21" s="68" t="str">
        <x:v>Need unilateral work</x:v>
      </x:c>
      <x:c r="E21" s="68" t="str">
        <x:v>Control torso.</x:v>
      </x:c>
      <x:c r="F21" s="83" t="n">
        <x:v>46222.416666666664</x:v>
      </x:c>
    </x:row>
    <x:row r="22">
      <x:c r="A22" s="67" t="str">
        <x:v>ALT021</x:v>
      </x:c>
      <x:c r="B22" s="68" t="str">
        <x:v>Chest-supported dumbbell row</x:v>
      </x:c>
      <x:c r="C22" s="68" t="str">
        <x:v>Inverted row</x:v>
      </x:c>
      <x:c r="D22" s="68" t="str">
        <x:v>No dumbbell setup</x:v>
      </x:c>
      <x:c r="E22" s="68" t="str">
        <x:v>Bodyweight row.</x:v>
      </x:c>
      <x:c r="F22" s="83" t="n">
        <x:v>46222.416666666664</x:v>
      </x:c>
    </x:row>
    <x:row r="23">
      <x:c r="A23" s="67" t="str">
        <x:v>ALT022</x:v>
      </x:c>
      <x:c r="B23" s="68" t="str">
        <x:v>One-arm cable row</x:v>
      </x:c>
      <x:c r="C23" s="68" t="str">
        <x:v>Seated cable row</x:v>
      </x:c>
      <x:c r="D23" s="68" t="str">
        <x:v>Want bilateral row</x:v>
      </x:c>
      <x:c r="E23" s="68" t="str">
        <x:v>Use cable station.</x:v>
      </x:c>
      <x:c r="F23" s="83" t="n">
        <x:v>46222.416666666664</x:v>
      </x:c>
    </x:row>
    <x:row r="24">
      <x:c r="A24" s="67" t="str">
        <x:v>ALT023</x:v>
      </x:c>
      <x:c r="B24" s="68" t="str">
        <x:v>Weighted chin-up or heavy pulldown</x:v>
      </x:c>
      <x:c r="C24" s="68" t="str">
        <x:v>Cable lat pulldown</x:v>
      </x:c>
      <x:c r="D24" s="68" t="str">
        <x:v>Chin-ups not ready</x:v>
      </x:c>
      <x:c r="E24" s="68" t="str">
        <x:v>Progress load on cable.</x:v>
      </x:c>
      <x:c r="F24" s="83" t="n">
        <x:v>46222.416666666664</x:v>
      </x:c>
    </x:row>
    <x:row r="25">
      <x:c r="A25" s="67" t="str">
        <x:v>ALT024</x:v>
      </x:c>
      <x:c r="B25" s="68" t="str">
        <x:v>Weighted chin-up or heavy pulldown</x:v>
      </x:c>
      <x:c r="C25" s="68" t="str">
        <x:v>Weighted chin-up</x:v>
      </x:c>
      <x:c r="D25" s="68" t="str">
        <x:v>Strong chin-ups</x:v>
      </x:c>
      <x:c r="E25" s="68" t="str">
        <x:v>Use clean reps only.</x:v>
      </x:c>
      <x:c r="F25" s="83" t="n">
        <x:v>46222.416666666664</x:v>
      </x:c>
    </x:row>
    <x:row r="26">
      <x:c r="A26" s="67" t="str">
        <x:v>ALT025</x:v>
      </x:c>
      <x:c r="B26" s="68" t="str">
        <x:v>Cable lat pulldown or ring chin-up</x:v>
      </x:c>
      <x:c r="C26" s="68" t="str">
        <x:v>Cable lat pulldown</x:v>
      </x:c>
      <x:c r="D26" s="68" t="str">
        <x:v>Need stable load</x:v>
      </x:c>
      <x:c r="E26" s="68" t="str">
        <x:v>Good progression.</x:v>
      </x:c>
      <x:c r="F26" s="83" t="n">
        <x:v>46222.416666666664</x:v>
      </x:c>
    </x:row>
    <x:row r="27">
      <x:c r="A27" s="67" t="str">
        <x:v>ALT026</x:v>
      </x:c>
      <x:c r="B27" s="68" t="str">
        <x:v>Cable lat pulldown or ring chin-up</x:v>
      </x:c>
      <x:c r="C27" s="68" t="str">
        <x:v>Ring chin-up</x:v>
      </x:c>
      <x:c r="D27" s="68" t="str">
        <x:v>Want bodyweight progression</x:v>
      </x:c>
      <x:c r="E27" s="68" t="str">
        <x:v>Use assistance as required.</x:v>
      </x:c>
      <x:c r="F27" s="83" t="n">
        <x:v>46222.416666666664</x:v>
      </x:c>
    </x:row>
    <x:row r="28">
      <x:c r="A28" s="67" t="str">
        <x:v>ALT027</x:v>
      </x:c>
      <x:c r="B28" s="68" t="str">
        <x:v>Pulldown or chin-up</x:v>
      </x:c>
      <x:c r="C28" s="68" t="str">
        <x:v>Cable lat pulldown</x:v>
      </x:c>
      <x:c r="D28" s="68" t="str">
        <x:v>RFL fatigue</x:v>
      </x:c>
      <x:c r="E28" s="68" t="str">
        <x:v>Easy load control.</x:v>
      </x:c>
      <x:c r="F28" s="83" t="n">
        <x:v>46222.416666666664</x:v>
      </x:c>
    </x:row>
    <x:row r="29">
      <x:c r="A29" s="67" t="str">
        <x:v>ALT028</x:v>
      </x:c>
      <x:c r="B29" s="68" t="str">
        <x:v>Pulldown or chin-up</x:v>
      </x:c>
      <x:c r="C29" s="68" t="str">
        <x:v>Ring chin-up</x:v>
      </x:c>
      <x:c r="D29" s="68" t="str">
        <x:v>Bodyweight option</x:v>
      </x:c>
      <x:c r="E29" s="68" t="str">
        <x:v>Keep 2-3 RIR in RFL.</x:v>
      </x:c>
      <x:c r="F29" s="83" t="n">
        <x:v>46222.416666666664</x:v>
      </x:c>
    </x:row>
    <x:row r="30">
      <x:c r="A30" s="67" t="str">
        <x:v>ALT029</x:v>
      </x:c>
      <x:c r="B30" s="68" t="str">
        <x:v>Seated dumbbell overhead press</x:v>
      </x:c>
      <x:c r="C30" s="68" t="str">
        <x:v>Incline dumbbell press</x:v>
      </x:c>
      <x:c r="D30" s="68" t="str">
        <x:v>Shoulder irritation</x:v>
      </x:c>
      <x:c r="E30" s="68" t="str">
        <x:v>Use pain-free angle.</x:v>
      </x:c>
      <x:c r="F30" s="83" t="n">
        <x:v>46222.416666666664</x:v>
      </x:c>
    </x:row>
    <x:row r="31">
      <x:c r="A31" s="67" t="str">
        <x:v>ALT030</x:v>
      </x:c>
      <x:c r="B31" s="68" t="str">
        <x:v>Seated dumbbell overhead press</x:v>
      </x:c>
      <x:c r="C31" s="68" t="str">
        <x:v>Standing overhead press</x:v>
      </x:c>
      <x:c r="D31" s="68" t="str">
        <x:v>Want barbell progression</x:v>
      </x:c>
      <x:c r="E31" s="68" t="str">
        <x:v>Only if lower back feels stable.</x:v>
      </x:c>
      <x:c r="F31" s="83" t="n">
        <x:v>46222.416666666664</x:v>
      </x:c>
    </x:row>
    <x:row r="32">
      <x:c r="A32" s="67" t="str">
        <x:v>ALT031</x:v>
      </x:c>
      <x:c r="B32" s="68" t="str">
        <x:v>Cable lateral raise</x:v>
      </x:c>
      <x:c r="C32" s="68" t="str">
        <x:v>Dumbbell lateral raise</x:v>
      </x:c>
      <x:c r="D32" s="68" t="str">
        <x:v>Cable unavailable</x:v>
      </x:c>
      <x:c r="E32" s="68" t="str">
        <x:v>Keep strict and controlled.</x:v>
      </x:c>
      <x:c r="F32" s="83" t="n">
        <x:v>46222.416666666664</x:v>
      </x:c>
    </x:row>
    <x:row r="33">
      <x:c r="A33" s="67" t="str">
        <x:v>ALT032</x:v>
      </x:c>
      <x:c r="B33" s="68" t="str">
        <x:v>Cable lateral raise</x:v>
      </x:c>
      <x:c r="C33" s="68" t="str">
        <x:v>Lean-away cable lateral raise</x:v>
      </x:c>
      <x:c r="D33" s="68" t="str">
        <x:v>Need different line of pull</x:v>
      </x:c>
      <x:c r="E33" s="68" t="str">
        <x:v>Stay light.</x:v>
      </x:c>
      <x:c r="F33" s="83" t="n">
        <x:v>46222.416666666664</x:v>
      </x:c>
    </x:row>
    <x:row r="34">
      <x:c r="A34" s="67" t="str">
        <x:v>ALT033</x:v>
      </x:c>
      <x:c r="B34" s="68" t="str">
        <x:v>Cable rear-delt fly or face pull</x:v>
      </x:c>
      <x:c r="C34" s="68" t="str">
        <x:v>Cable rear-delt fly</x:v>
      </x:c>
      <x:c r="D34" s="68" t="str">
        <x:v>Rear delt emphasis</x:v>
      </x:c>
      <x:c r="E34" s="68" t="str">
        <x:v>Strict reps.</x:v>
      </x:c>
      <x:c r="F34" s="83" t="n">
        <x:v>46222.416666666664</x:v>
      </x:c>
    </x:row>
    <x:row r="35">
      <x:c r="A35" s="67" t="str">
        <x:v>ALT034</x:v>
      </x:c>
      <x:c r="B35" s="68" t="str">
        <x:v>Cable rear-delt fly or face pull</x:v>
      </x:c>
      <x:c r="C35" s="68" t="str">
        <x:v>Face pull</x:v>
      </x:c>
      <x:c r="D35" s="68" t="str">
        <x:v>Shoulder-health emphasis</x:v>
      </x:c>
      <x:c r="E35" s="68" t="str">
        <x:v>Use rope attachment.</x:v>
      </x:c>
      <x:c r="F35" s="83" t="n">
        <x:v>46222.416666666664</x:v>
      </x:c>
    </x:row>
    <x:row r="36">
      <x:c r="A36" s="67" t="str">
        <x:v>ALT035</x:v>
      </x:c>
      <x:c r="B36" s="68" t="str">
        <x:v>Rear-delt cable fly</x:v>
      </x:c>
      <x:c r="C36" s="68" t="str">
        <x:v>Face pull</x:v>
      </x:c>
      <x:c r="D36" s="68" t="str">
        <x:v>Shoulder-friendly substitute</x:v>
      </x:c>
      <x:c r="E36" s="68" t="str">
        <x:v>Keep elbows high.</x:v>
      </x:c>
      <x:c r="F36" s="83" t="n">
        <x:v>46222.416666666664</x:v>
      </x:c>
    </x:row>
    <x:row r="37">
      <x:c r="A37" s="67" t="str">
        <x:v>ALT036</x:v>
      </x:c>
      <x:c r="B37" s="68" t="str">
        <x:v>Cable triceps pushdown</x:v>
      </x:c>
      <x:c r="C37" s="68" t="str">
        <x:v>Overhead cable triceps extension</x:v>
      </x:c>
      <x:c r="D37" s="68" t="str">
        <x:v>Need long-head work</x:v>
      </x:c>
      <x:c r="E37" s="68" t="str">
        <x:v>Use pain-free elbow path.</x:v>
      </x:c>
      <x:c r="F37" s="83" t="n">
        <x:v>46222.416666666664</x:v>
      </x:c>
    </x:row>
    <x:row r="38">
      <x:c r="A38" s="67" t="str">
        <x:v>ALT037</x:v>
      </x:c>
      <x:c r="B38" s="68" t="str">
        <x:v>Overhead cable triceps extension</x:v>
      </x:c>
      <x:c r="C38" s="68" t="str">
        <x:v>Cable triceps pushdown</x:v>
      </x:c>
      <x:c r="D38" s="68" t="str">
        <x:v>Elbow discomfort</x:v>
      </x:c>
      <x:c r="E38" s="68" t="str">
        <x:v>Often more comfortable.</x:v>
      </x:c>
      <x:c r="F38" s="83" t="n">
        <x:v>46222.416666666664</x:v>
      </x:c>
    </x:row>
    <x:row r="39">
      <x:c r="A39" s="67" t="str">
        <x:v>ALT038</x:v>
      </x:c>
      <x:c r="B39" s="68" t="str">
        <x:v>Incline dumbbell or cable curl</x:v>
      </x:c>
      <x:c r="C39" s="68" t="str">
        <x:v>Cable curl</x:v>
      </x:c>
      <x:c r="D39" s="68" t="str">
        <x:v>Elbow-friendly tension</x:v>
      </x:c>
      <x:c r="E39" s="68" t="str">
        <x:v>Good default.</x:v>
      </x:c>
      <x:c r="F39" s="83" t="n">
        <x:v>46222.416666666664</x:v>
      </x:c>
    </x:row>
    <x:row r="40">
      <x:c r="A40" s="67" t="str">
        <x:v>ALT039</x:v>
      </x:c>
      <x:c r="B40" s="68" t="str">
        <x:v>Incline dumbbell or cable curl</x:v>
      </x:c>
      <x:c r="C40" s="68" t="str">
        <x:v>Incline dumbbell curl</x:v>
      </x:c>
      <x:c r="D40" s="68" t="str">
        <x:v>Stretch emphasis</x:v>
      </x:c>
      <x:c r="E40" s="68" t="str">
        <x:v>Use controlled range.</x:v>
      </x:c>
      <x:c r="F40" s="83" t="n">
        <x:v>46222.416666666664</x:v>
      </x:c>
    </x:row>
    <x:row r="41">
      <x:c r="A41" s="67" t="str">
        <x:v>ALT040</x:v>
      </x:c>
      <x:c r="B41" s="68" t="str">
        <x:v>Dumbbell hammer curl</x:v>
      </x:c>
      <x:c r="C41" s="68" t="str">
        <x:v>Cable curl</x:v>
      </x:c>
      <x:c r="D41" s="68" t="str">
        <x:v>Elbow discomfort</x:v>
      </x:c>
      <x:c r="E41" s="68" t="str">
        <x:v>Cable may feel smoother.</x:v>
      </x:c>
      <x:c r="F41" s="83" t="n">
        <x:v>46222.416666666664</x:v>
      </x:c>
    </x:row>
    <x:row r="42">
      <x:c r="A42" s="67" t="str">
        <x:v>ALT041</x:v>
      </x:c>
      <x:c r="B42" s="68" t="str">
        <x:v>Dead bug or Pallof press</x:v>
      </x:c>
      <x:c r="C42" s="68" t="str">
        <x:v>Dead bug</x:v>
      </x:c>
      <x:c r="D42" s="68" t="str">
        <x:v>No cable needed</x:v>
      </x:c>
      <x:c r="E42" s="68" t="str">
        <x:v>Low fatigue core.</x:v>
      </x:c>
      <x:c r="F42" s="83" t="n">
        <x:v>46222.416666666664</x:v>
      </x:c>
    </x:row>
    <x:row r="43">
      <x:c r="A43" s="67" t="str">
        <x:v>ALT042</x:v>
      </x:c>
      <x:c r="B43" s="68" t="str">
        <x:v>Dead bug or Pallof press</x:v>
      </x:c>
      <x:c r="C43" s="68" t="str">
        <x:v>Pallof press</x:v>
      </x:c>
      <x:c r="D43" s="68" t="str">
        <x:v>Anti-rotation focus</x:v>
      </x:c>
      <x:c r="E43" s="68" t="str">
        <x:v>Cable setup.</x:v>
      </x:c>
      <x:c r="F43" s="83" t="n">
        <x:v>46222.416666666664</x:v>
      </x:c>
    </x:row>
    <x:row r="44">
      <x:c r="A44" s="67" t="str">
        <x:v>ALT043</x:v>
      </x:c>
      <x:c r="B44" s="68" t="str">
        <x:v>Ab wheel or cable crunch</x:v>
      </x:c>
      <x:c r="C44" s="68" t="str">
        <x:v>Cable crunch</x:v>
      </x:c>
      <x:c r="D44" s="68" t="str">
        <x:v>Lower back sensitivity</x:v>
      </x:c>
      <x:c r="E44" s="68" t="str">
        <x:v>Easier to control.</x:v>
      </x:c>
      <x:c r="F44" s="83" t="n">
        <x:v>46222.416666666664</x:v>
      </x:c>
    </x:row>
    <x:row r="45">
      <x:c r="A45" s="67" t="str">
        <x:v>ALT044</x:v>
      </x:c>
      <x:c r="B45" s="68" t="str">
        <x:v>Ab wheel or cable crunch</x:v>
      </x:c>
      <x:c r="C45" s="68" t="str">
        <x:v>Dead bug</x:v>
      </x:c>
      <x:c r="D45" s="68" t="str">
        <x:v>Fatigued RFL day</x:v>
      </x:c>
      <x:c r="E45" s="68" t="str">
        <x:v>Lowest-risk option.</x:v>
      </x:c>
      <x:c r="F45" s="83" t="n">
        <x:v>46222.416666666664</x:v>
      </x:c>
    </x:row>
    <x:row r="46">
      <x:c r="A46" s="67" t="str">
        <x:v>ALT045</x:v>
      </x:c>
      <x:c r="B46" s="68" t="str">
        <x:v>High-bar back squat</x:v>
      </x:c>
      <x:c r="C46" s="68" t="str">
        <x:v>Safety-bar squat</x:v>
      </x:c>
      <x:c r="D46" s="68" t="str">
        <x:v>Equipment match</x:v>
      </x:c>
      <x:c r="E46" s="68" t="str">
        <x:v>Equipment-compatible option.</x:v>
      </x:c>
      <x:c r="F46" s="83" t="n">
        <x:v>46222.65625</x:v>
      </x:c>
    </x:row>
    <x:row r="47">
      <x:c r="A47" s="67" t="str">
        <x:v>ALT046</x:v>
      </x:c>
      <x:c r="B47" s="68" t="str">
        <x:v>High-bar back squat</x:v>
      </x:c>
      <x:c r="C47" s="68" t="str">
        <x:v>Smith-machine squat</x:v>
      </x:c>
      <x:c r="D47" s="68" t="str">
        <x:v>Equipment match</x:v>
      </x:c>
      <x:c r="E47" s="68" t="str">
        <x:v>Equipment-compatible option.</x:v>
      </x:c>
      <x:c r="F47" s="83" t="n">
        <x:v>46222.65625</x:v>
      </x:c>
    </x:row>
    <x:row r="48">
      <x:c r="A48" s="67" t="str">
        <x:v>ALT047</x:v>
      </x:c>
      <x:c r="B48" s="68" t="str">
        <x:v>High-bar back squat</x:v>
      </x:c>
      <x:c r="C48" s="68" t="str">
        <x:v>Landmine squat</x:v>
      </x:c>
      <x:c r="D48" s="68" t="str">
        <x:v>Equipment match</x:v>
      </x:c>
      <x:c r="E48" s="68" t="str">
        <x:v>Equipment-compatible option.</x:v>
      </x:c>
      <x:c r="F48" s="83" t="n">
        <x:v>46222.65625</x:v>
      </x:c>
    </x:row>
    <x:row r="49">
      <x:c r="A49" s="67" t="str">
        <x:v>ALT048</x:v>
      </x:c>
      <x:c r="B49" s="68" t="str">
        <x:v>High-bar back squat</x:v>
      </x:c>
      <x:c r="C49" s="68" t="str">
        <x:v>Leg press</x:v>
      </x:c>
      <x:c r="D49" s="68" t="str">
        <x:v>Equipment match</x:v>
      </x:c>
      <x:c r="E49" s="68" t="str">
        <x:v>Equipment-compatible option.</x:v>
      </x:c>
      <x:c r="F49" s="83" t="n">
        <x:v>46222.65625</x:v>
      </x:c>
    </x:row>
    <x:row r="50">
      <x:c r="A50" s="67" t="str">
        <x:v>ALT049</x:v>
      </x:c>
      <x:c r="B50" s="68" t="str">
        <x:v>High-bar back squat</x:v>
      </x:c>
      <x:c r="C50" s="68" t="str">
        <x:v>Hack squat</x:v>
      </x:c>
      <x:c r="D50" s="68" t="str">
        <x:v>Equipment match</x:v>
      </x:c>
      <x:c r="E50" s="68" t="str">
        <x:v>Equipment-compatible option.</x:v>
      </x:c>
      <x:c r="F50" s="83" t="n">
        <x:v>46222.65625</x:v>
      </x:c>
    </x:row>
    <x:row r="51">
      <x:c r="A51" s="67" t="str">
        <x:v>ALT050</x:v>
      </x:c>
      <x:c r="B51" s="68" t="str">
        <x:v>High-bar back squat</x:v>
      </x:c>
      <x:c r="C51" s="68" t="str">
        <x:v>Kettlebell goblet squat</x:v>
      </x:c>
      <x:c r="D51" s="68" t="str">
        <x:v>Equipment match</x:v>
      </x:c>
      <x:c r="E51" s="68" t="str">
        <x:v>Equipment-compatible option.</x:v>
      </x:c>
      <x:c r="F51" s="83" t="n">
        <x:v>46222.65625</x:v>
      </x:c>
    </x:row>
    <x:row r="52">
      <x:c r="A52" s="67" t="str">
        <x:v>ALT051</x:v>
      </x:c>
      <x:c r="B52" s="68" t="str">
        <x:v>High-bar back squat</x:v>
      </x:c>
      <x:c r="C52" s="68" t="str">
        <x:v>Bodyweight split squat</x:v>
      </x:c>
      <x:c r="D52" s="68" t="str">
        <x:v>Equipment match</x:v>
      </x:c>
      <x:c r="E52" s="68" t="str">
        <x:v>Equipment-compatible option.</x:v>
      </x:c>
      <x:c r="F52" s="83" t="n">
        <x:v>46222.65625</x:v>
      </x:c>
    </x:row>
    <x:row r="53">
      <x:c r="A53" s="67" t="str">
        <x:v>ALT052</x:v>
      </x:c>
      <x:c r="B53" s="68" t="str">
        <x:v>Front squat or heels-elevated squat</x:v>
      </x:c>
      <x:c r="C53" s="68" t="str">
        <x:v>Front squat</x:v>
      </x:c>
      <x:c r="D53" s="68" t="str">
        <x:v>Equipment match</x:v>
      </x:c>
      <x:c r="E53" s="68" t="str">
        <x:v>Equipment-compatible option.</x:v>
      </x:c>
      <x:c r="F53" s="83" t="n">
        <x:v>46222.65625</x:v>
      </x:c>
    </x:row>
    <x:row r="54">
      <x:c r="A54" s="67" t="str">
        <x:v>ALT053</x:v>
      </x:c>
      <x:c r="B54" s="68" t="str">
        <x:v>Front squat or heels-elevated squat</x:v>
      </x:c>
      <x:c r="C54" s="68" t="str">
        <x:v>Goblet squat</x:v>
      </x:c>
      <x:c r="D54" s="68" t="str">
        <x:v>Equipment match</x:v>
      </x:c>
      <x:c r="E54" s="68" t="str">
        <x:v>Equipment-compatible option.</x:v>
      </x:c>
      <x:c r="F54" s="83" t="n">
        <x:v>46222.65625</x:v>
      </x:c>
    </x:row>
    <x:row r="55">
      <x:c r="A55" s="67" t="str">
        <x:v>ALT054</x:v>
      </x:c>
      <x:c r="B55" s="68" t="str">
        <x:v>Front squat or heels-elevated squat</x:v>
      </x:c>
      <x:c r="C55" s="68" t="str">
        <x:v>Landmine squat</x:v>
      </x:c>
      <x:c r="D55" s="68" t="str">
        <x:v>Equipment match</x:v>
      </x:c>
      <x:c r="E55" s="68" t="str">
        <x:v>Equipment-compatible option.</x:v>
      </x:c>
      <x:c r="F55" s="83" t="n">
        <x:v>46222.65625</x:v>
      </x:c>
    </x:row>
    <x:row r="56">
      <x:c r="A56" s="67" t="str">
        <x:v>ALT055</x:v>
      </x:c>
      <x:c r="B56" s="68" t="str">
        <x:v>Front squat or heels-elevated squat</x:v>
      </x:c>
      <x:c r="C56" s="68" t="str">
        <x:v>Leg press</x:v>
      </x:c>
      <x:c r="D56" s="68" t="str">
        <x:v>Equipment match</x:v>
      </x:c>
      <x:c r="E56" s="68" t="str">
        <x:v>Equipment-compatible option.</x:v>
      </x:c>
      <x:c r="F56" s="83" t="n">
        <x:v>46222.65625</x:v>
      </x:c>
    </x:row>
    <x:row r="57">
      <x:c r="A57" s="67" t="str">
        <x:v>ALT056</x:v>
      </x:c>
      <x:c r="B57" s="68" t="str">
        <x:v>Front squat or heels-elevated squat</x:v>
      </x:c>
      <x:c r="C57" s="68" t="str">
        <x:v>Hack squat</x:v>
      </x:c>
      <x:c r="D57" s="68" t="str">
        <x:v>Equipment match</x:v>
      </x:c>
      <x:c r="E57" s="68" t="str">
        <x:v>Equipment-compatible option.</x:v>
      </x:c>
      <x:c r="F57" s="83" t="n">
        <x:v>46222.65625</x:v>
      </x:c>
    </x:row>
    <x:row r="58">
      <x:c r="A58" s="67" t="str">
        <x:v>ALT057</x:v>
      </x:c>
      <x:c r="B58" s="68" t="str">
        <x:v>Front squat or heels-elevated squat</x:v>
      </x:c>
      <x:c r="C58" s="68" t="str">
        <x:v>Smith-machine squat</x:v>
      </x:c>
      <x:c r="D58" s="68" t="str">
        <x:v>Equipment match</x:v>
      </x:c>
      <x:c r="E58" s="68" t="str">
        <x:v>Equipment-compatible option.</x:v>
      </x:c>
      <x:c r="F58" s="83" t="n">
        <x:v>46222.65625</x:v>
      </x:c>
    </x:row>
    <x:row r="59">
      <x:c r="A59" s="67" t="str">
        <x:v>ALT058</x:v>
      </x:c>
      <x:c r="B59" s="68" t="str">
        <x:v>Front squat or heels-elevated squat</x:v>
      </x:c>
      <x:c r="C59" s="68" t="str">
        <x:v>Slant-board squat</x:v>
      </x:c>
      <x:c r="D59" s="68" t="str">
        <x:v>Equipment match</x:v>
      </x:c>
      <x:c r="E59" s="68" t="str">
        <x:v>Equipment-compatible option.</x:v>
      </x:c>
      <x:c r="F59" s="83" t="n">
        <x:v>46222.65625</x:v>
      </x:c>
    </x:row>
    <x:row r="60">
      <x:c r="A60" s="67" t="str">
        <x:v>ALT059</x:v>
      </x:c>
      <x:c r="B60" s="68" t="str">
        <x:v>Front squat or Bulgarian split squat</x:v>
      </x:c>
      <x:c r="C60" s="68" t="str">
        <x:v>Front squat</x:v>
      </x:c>
      <x:c r="D60" s="68" t="str">
        <x:v>Equipment match</x:v>
      </x:c>
      <x:c r="E60" s="68" t="str">
        <x:v>Equipment-compatible option.</x:v>
      </x:c>
      <x:c r="F60" s="83" t="n">
        <x:v>46222.65625</x:v>
      </x:c>
    </x:row>
    <x:row r="61">
      <x:c r="A61" s="67" t="str">
        <x:v>ALT060</x:v>
      </x:c>
      <x:c r="B61" s="68" t="str">
        <x:v>Front squat or Bulgarian split squat</x:v>
      </x:c>
      <x:c r="C61" s="68" t="str">
        <x:v>Bulgarian split squat</x:v>
      </x:c>
      <x:c r="D61" s="68" t="str">
        <x:v>Equipment match</x:v>
      </x:c>
      <x:c r="E61" s="68" t="str">
        <x:v>Equipment-compatible option.</x:v>
      </x:c>
      <x:c r="F61" s="83" t="n">
        <x:v>46222.65625</x:v>
      </x:c>
    </x:row>
    <x:row r="62">
      <x:c r="A62" s="67" t="str">
        <x:v>ALT061</x:v>
      </x:c>
      <x:c r="B62" s="68" t="str">
        <x:v>Front squat or Bulgarian split squat</x:v>
      </x:c>
      <x:c r="C62" s="68" t="str">
        <x:v>Goblet squat</x:v>
      </x:c>
      <x:c r="D62" s="68" t="str">
        <x:v>Equipment match</x:v>
      </x:c>
      <x:c r="E62" s="68" t="str">
        <x:v>Equipment-compatible option.</x:v>
      </x:c>
      <x:c r="F62" s="83" t="n">
        <x:v>46222.65625</x:v>
      </x:c>
    </x:row>
    <x:row r="63">
      <x:c r="A63" s="67" t="str">
        <x:v>ALT062</x:v>
      </x:c>
      <x:c r="B63" s="68" t="str">
        <x:v>Front squat or Bulgarian split squat</x:v>
      </x:c>
      <x:c r="C63" s="68" t="str">
        <x:v>Leg press</x:v>
      </x:c>
      <x:c r="D63" s="68" t="str">
        <x:v>Equipment match</x:v>
      </x:c>
      <x:c r="E63" s="68" t="str">
        <x:v>Equipment-compatible option.</x:v>
      </x:c>
      <x:c r="F63" s="83" t="n">
        <x:v>46222.65625</x:v>
      </x:c>
    </x:row>
    <x:row r="64">
      <x:c r="A64" s="67" t="str">
        <x:v>ALT063</x:v>
      </x:c>
      <x:c r="B64" s="68" t="str">
        <x:v>Front squat or Bulgarian split squat</x:v>
      </x:c>
      <x:c r="C64" s="68" t="str">
        <x:v>Hack squat</x:v>
      </x:c>
      <x:c r="D64" s="68" t="str">
        <x:v>Equipment match</x:v>
      </x:c>
      <x:c r="E64" s="68" t="str">
        <x:v>Equipment-compatible option.</x:v>
      </x:c>
      <x:c r="F64" s="83" t="n">
        <x:v>46222.65625</x:v>
      </x:c>
    </x:row>
    <x:row r="65">
      <x:c r="A65" s="67" t="str">
        <x:v>ALT064</x:v>
      </x:c>
      <x:c r="B65" s="68" t="str">
        <x:v>Front squat or Bulgarian split squat</x:v>
      </x:c>
      <x:c r="C65" s="68" t="str">
        <x:v>Bodyweight split squat</x:v>
      </x:c>
      <x:c r="D65" s="68" t="str">
        <x:v>Equipment match</x:v>
      </x:c>
      <x:c r="E65" s="68" t="str">
        <x:v>Equipment-compatible option.</x:v>
      </x:c>
      <x:c r="F65" s="83" t="n">
        <x:v>46222.65625</x:v>
      </x:c>
    </x:row>
    <x:row r="66">
      <x:c r="A66" s="67" t="str">
        <x:v>ALT065</x:v>
      </x:c>
      <x:c r="B66" s="68" t="str">
        <x:v>Romanian deadlift</x:v>
      </x:c>
      <x:c r="C66" s="68" t="str">
        <x:v>Kettlebell Romanian deadlift</x:v>
      </x:c>
      <x:c r="D66" s="68" t="str">
        <x:v>Equipment match</x:v>
      </x:c>
      <x:c r="E66" s="68" t="str">
        <x:v>Equipment-compatible option.</x:v>
      </x:c>
      <x:c r="F66" s="83" t="n">
        <x:v>46222.65625</x:v>
      </x:c>
    </x:row>
    <x:row r="67">
      <x:c r="A67" s="67" t="str">
        <x:v>ALT066</x:v>
      </x:c>
      <x:c r="B67" s="68" t="str">
        <x:v>Romanian deadlift</x:v>
      </x:c>
      <x:c r="C67" s="68" t="str">
        <x:v>Trap-bar deadlift</x:v>
      </x:c>
      <x:c r="D67" s="68" t="str">
        <x:v>Equipment match</x:v>
      </x:c>
      <x:c r="E67" s="68" t="str">
        <x:v>Equipment-compatible option.</x:v>
      </x:c>
      <x:c r="F67" s="83" t="n">
        <x:v>46222.65625</x:v>
      </x:c>
    </x:row>
    <x:row r="68">
      <x:c r="A68" s="67" t="str">
        <x:v>ALT067</x:v>
      </x:c>
      <x:c r="B68" s="68" t="str">
        <x:v>Romanian deadlift</x:v>
      </x:c>
      <x:c r="C68" s="68" t="str">
        <x:v>Stability-ball leg curl</x:v>
      </x:c>
      <x:c r="D68" s="68" t="str">
        <x:v>Equipment match</x:v>
      </x:c>
      <x:c r="E68" s="68" t="str">
        <x:v>Equipment-compatible option.</x:v>
      </x:c>
      <x:c r="F68" s="83" t="n">
        <x:v>46222.65625</x:v>
      </x:c>
    </x:row>
    <x:row r="69">
      <x:c r="A69" s="67" t="str">
        <x:v>ALT068</x:v>
      </x:c>
      <x:c r="B69" s="68" t="str">
        <x:v>Romanian deadlift or hip thrust</x:v>
      </x:c>
      <x:c r="C69" s="68" t="str">
        <x:v>Romanian deadlift</x:v>
      </x:c>
      <x:c r="D69" s="68" t="str">
        <x:v>Equipment match</x:v>
      </x:c>
      <x:c r="E69" s="68" t="str">
        <x:v>Equipment-compatible option.</x:v>
      </x:c>
      <x:c r="F69" s="83" t="n">
        <x:v>46222.65625</x:v>
      </x:c>
    </x:row>
    <x:row r="70">
      <x:c r="A70" s="67" t="str">
        <x:v>ALT069</x:v>
      </x:c>
      <x:c r="B70" s="68" t="str">
        <x:v>Romanian deadlift or hip thrust</x:v>
      </x:c>
      <x:c r="C70" s="68" t="str">
        <x:v>Dumbbell Romanian deadlift</x:v>
      </x:c>
      <x:c r="D70" s="68" t="str">
        <x:v>Equipment match</x:v>
      </x:c>
      <x:c r="E70" s="68" t="str">
        <x:v>Equipment-compatible option.</x:v>
      </x:c>
      <x:c r="F70" s="83" t="n">
        <x:v>46222.65625</x:v>
      </x:c>
    </x:row>
    <x:row r="71">
      <x:c r="A71" s="67" t="str">
        <x:v>ALT070</x:v>
      </x:c>
      <x:c r="B71" s="68" t="str">
        <x:v>Romanian deadlift or hip thrust</x:v>
      </x:c>
      <x:c r="C71" s="68" t="str">
        <x:v>Dumbbell hip thrust</x:v>
      </x:c>
      <x:c r="D71" s="68" t="str">
        <x:v>Equipment match</x:v>
      </x:c>
      <x:c r="E71" s="68" t="str">
        <x:v>Equipment-compatible option.</x:v>
      </x:c>
      <x:c r="F71" s="83" t="n">
        <x:v>46222.65625</x:v>
      </x:c>
    </x:row>
    <x:row r="72">
      <x:c r="A72" s="67" t="str">
        <x:v>ALT071</x:v>
      </x:c>
      <x:c r="B72" s="68" t="str">
        <x:v>Romanian deadlift or hip thrust</x:v>
      </x:c>
      <x:c r="C72" s="68" t="str">
        <x:v>Smith-machine hip thrust</x:v>
      </x:c>
      <x:c r="D72" s="68" t="str">
        <x:v>Equipment match</x:v>
      </x:c>
      <x:c r="E72" s="68" t="str">
        <x:v>Equipment-compatible option.</x:v>
      </x:c>
      <x:c r="F72" s="83" t="n">
        <x:v>46222.65625</x:v>
      </x:c>
    </x:row>
    <x:row r="73">
      <x:c r="A73" s="67" t="str">
        <x:v>ALT072</x:v>
      </x:c>
      <x:c r="B73" s="68" t="str">
        <x:v>Romanian deadlift or hip thrust</x:v>
      </x:c>
      <x:c r="C73" s="68" t="str">
        <x:v>Glute bridge</x:v>
      </x:c>
      <x:c r="D73" s="68" t="str">
        <x:v>Equipment match</x:v>
      </x:c>
      <x:c r="E73" s="68" t="str">
        <x:v>Equipment-compatible option.</x:v>
      </x:c>
      <x:c r="F73" s="83" t="n">
        <x:v>46222.65625</x:v>
      </x:c>
    </x:row>
    <x:row r="74">
      <x:c r="A74" s="67" t="str">
        <x:v>ALT073</x:v>
      </x:c>
      <x:c r="B74" s="68" t="str">
        <x:v>Barbell hip thrust</x:v>
      </x:c>
      <x:c r="C74" s="68" t="str">
        <x:v>Dumbbell hip thrust</x:v>
      </x:c>
      <x:c r="D74" s="68" t="str">
        <x:v>Equipment match</x:v>
      </x:c>
      <x:c r="E74" s="68" t="str">
        <x:v>Equipment-compatible option.</x:v>
      </x:c>
      <x:c r="F74" s="83" t="n">
        <x:v>46222.65625</x:v>
      </x:c>
    </x:row>
    <x:row r="75">
      <x:c r="A75" s="67" t="str">
        <x:v>ALT074</x:v>
      </x:c>
      <x:c r="B75" s="68" t="str">
        <x:v>Barbell hip thrust</x:v>
      </x:c>
      <x:c r="C75" s="68" t="str">
        <x:v>Smith-machine hip thrust</x:v>
      </x:c>
      <x:c r="D75" s="68" t="str">
        <x:v>Equipment match</x:v>
      </x:c>
      <x:c r="E75" s="68" t="str">
        <x:v>Equipment-compatible option.</x:v>
      </x:c>
      <x:c r="F75" s="83" t="n">
        <x:v>46222.65625</x:v>
      </x:c>
    </x:row>
    <x:row r="76">
      <x:c r="A76" s="67" t="str">
        <x:v>ALT075</x:v>
      </x:c>
      <x:c r="B76" s="68" t="str">
        <x:v>Barbell hip thrust</x:v>
      </x:c>
      <x:c r="C76" s="68" t="str">
        <x:v>Glute bridge</x:v>
      </x:c>
      <x:c r="D76" s="68" t="str">
        <x:v>Equipment match</x:v>
      </x:c>
      <x:c r="E76" s="68" t="str">
        <x:v>Equipment-compatible option.</x:v>
      </x:c>
      <x:c r="F76" s="83" t="n">
        <x:v>46222.65625</x:v>
      </x:c>
    </x:row>
    <x:row r="77">
      <x:c r="A77" s="67" t="str">
        <x:v>ALT076</x:v>
      </x:c>
      <x:c r="B77" s="68" t="str">
        <x:v>Hip thrust or cable leg curl</x:v>
      </x:c>
      <x:c r="C77" s="68" t="str">
        <x:v>Barbell hip thrust</x:v>
      </x:c>
      <x:c r="D77" s="68" t="str">
        <x:v>Equipment match</x:v>
      </x:c>
      <x:c r="E77" s="68" t="str">
        <x:v>Equipment-compatible option.</x:v>
      </x:c>
      <x:c r="F77" s="83" t="n">
        <x:v>46222.65625</x:v>
      </x:c>
    </x:row>
    <x:row r="78">
      <x:c r="A78" s="67" t="str">
        <x:v>ALT077</x:v>
      </x:c>
      <x:c r="B78" s="68" t="str">
        <x:v>Hip thrust or cable leg curl</x:v>
      </x:c>
      <x:c r="C78" s="68" t="str">
        <x:v>Dumbbell hip thrust</x:v>
      </x:c>
      <x:c r="D78" s="68" t="str">
        <x:v>Equipment match</x:v>
      </x:c>
      <x:c r="E78" s="68" t="str">
        <x:v>Equipment-compatible option.</x:v>
      </x:c>
      <x:c r="F78" s="83" t="n">
        <x:v>46222.65625</x:v>
      </x:c>
    </x:row>
    <x:row r="79">
      <x:c r="A79" s="67" t="str">
        <x:v>ALT078</x:v>
      </x:c>
      <x:c r="B79" s="68" t="str">
        <x:v>Hip thrust or cable leg curl</x:v>
      </x:c>
      <x:c r="C79" s="68" t="str">
        <x:v>Smith-machine hip thrust</x:v>
      </x:c>
      <x:c r="D79" s="68" t="str">
        <x:v>Equipment match</x:v>
      </x:c>
      <x:c r="E79" s="68" t="str">
        <x:v>Equipment-compatible option.</x:v>
      </x:c>
      <x:c r="F79" s="83" t="n">
        <x:v>46222.65625</x:v>
      </x:c>
    </x:row>
    <x:row r="80">
      <x:c r="A80" s="67" t="str">
        <x:v>ALT079</x:v>
      </x:c>
      <x:c r="B80" s="68" t="str">
        <x:v>Hip thrust or cable leg curl</x:v>
      </x:c>
      <x:c r="C80" s="68" t="str">
        <x:v>Cable leg curl</x:v>
      </x:c>
      <x:c r="D80" s="68" t="str">
        <x:v>Equipment match</x:v>
      </x:c>
      <x:c r="E80" s="68" t="str">
        <x:v>Equipment-compatible option.</x:v>
      </x:c>
      <x:c r="F80" s="83" t="n">
        <x:v>46222.65625</x:v>
      </x:c>
    </x:row>
    <x:row r="81">
      <x:c r="A81" s="67" t="str">
        <x:v>ALT080</x:v>
      </x:c>
      <x:c r="B81" s="68" t="str">
        <x:v>Hip thrust or cable leg curl</x:v>
      </x:c>
      <x:c r="C81" s="68" t="str">
        <x:v>Seated leg curl</x:v>
      </x:c>
      <x:c r="D81" s="68" t="str">
        <x:v>Equipment match</x:v>
      </x:c>
      <x:c r="E81" s="68" t="str">
        <x:v>Equipment-compatible option.</x:v>
      </x:c>
      <x:c r="F81" s="83" t="n">
        <x:v>46222.65625</x:v>
      </x:c>
    </x:row>
    <x:row r="82">
      <x:c r="A82" s="67" t="str">
        <x:v>ALT081</x:v>
      </x:c>
      <x:c r="B82" s="68" t="str">
        <x:v>Hip thrust or cable leg curl</x:v>
      </x:c>
      <x:c r="C82" s="68" t="str">
        <x:v>Lying leg curl</x:v>
      </x:c>
      <x:c r="D82" s="68" t="str">
        <x:v>Equipment match</x:v>
      </x:c>
      <x:c r="E82" s="68" t="str">
        <x:v>Equipment-compatible option.</x:v>
      </x:c>
      <x:c r="F82" s="83" t="n">
        <x:v>46222.65625</x:v>
      </x:c>
    </x:row>
    <x:row r="83">
      <x:c r="A83" s="67" t="str">
        <x:v>ALT082</x:v>
      </x:c>
      <x:c r="B83" s="68" t="str">
        <x:v>Hip thrust or cable leg curl</x:v>
      </x:c>
      <x:c r="C83" s="68" t="str">
        <x:v>Banded leg curl</x:v>
      </x:c>
      <x:c r="D83" s="68" t="str">
        <x:v>Equipment match</x:v>
      </x:c>
      <x:c r="E83" s="68" t="str">
        <x:v>Equipment-compatible option.</x:v>
      </x:c>
      <x:c r="F83" s="83" t="n">
        <x:v>46222.65625</x:v>
      </x:c>
    </x:row>
    <x:row r="84">
      <x:c r="A84" s="67" t="str">
        <x:v>ALT083</x:v>
      </x:c>
      <x:c r="B84" s="68" t="str">
        <x:v>Hip thrust or cable leg curl</x:v>
      </x:c>
      <x:c r="C84" s="68" t="str">
        <x:v>Stability-ball leg curl</x:v>
      </x:c>
      <x:c r="D84" s="68" t="str">
        <x:v>Equipment match</x:v>
      </x:c>
      <x:c r="E84" s="68" t="str">
        <x:v>Equipment-compatible option.</x:v>
      </x:c>
      <x:c r="F84" s="83" t="n">
        <x:v>46222.65625</x:v>
      </x:c>
    </x:row>
    <x:row r="85">
      <x:c r="A85" s="67" t="str">
        <x:v>ALT084</x:v>
      </x:c>
      <x:c r="B85" s="68" t="str">
        <x:v>Bulgarian split squat</x:v>
      </x:c>
      <x:c r="C85" s="68" t="str">
        <x:v>Reverse lunge</x:v>
      </x:c>
      <x:c r="D85" s="68" t="str">
        <x:v>Equipment match</x:v>
      </x:c>
      <x:c r="E85" s="68" t="str">
        <x:v>Equipment-compatible option.</x:v>
      </x:c>
      <x:c r="F85" s="83" t="n">
        <x:v>46222.65625</x:v>
      </x:c>
    </x:row>
    <x:row r="86">
      <x:c r="A86" s="67" t="str">
        <x:v>ALT085</x:v>
      </x:c>
      <x:c r="B86" s="68" t="str">
        <x:v>Bulgarian split squat</x:v>
      </x:c>
      <x:c r="C86" s="68" t="str">
        <x:v>Step-up</x:v>
      </x:c>
      <x:c r="D86" s="68" t="str">
        <x:v>Equipment match</x:v>
      </x:c>
      <x:c r="E86" s="68" t="str">
        <x:v>Equipment-compatible option.</x:v>
      </x:c>
      <x:c r="F86" s="83" t="n">
        <x:v>46222.65625</x:v>
      </x:c>
    </x:row>
    <x:row r="87">
      <x:c r="A87" s="67" t="str">
        <x:v>ALT086</x:v>
      </x:c>
      <x:c r="B87" s="68" t="str">
        <x:v>Bulgarian split squat</x:v>
      </x:c>
      <x:c r="C87" s="68" t="str">
        <x:v>Walking lunge</x:v>
      </x:c>
      <x:c r="D87" s="68" t="str">
        <x:v>Equipment match</x:v>
      </x:c>
      <x:c r="E87" s="68" t="str">
        <x:v>Equipment-compatible option.</x:v>
      </x:c>
      <x:c r="F87" s="83" t="n">
        <x:v>46222.65625</x:v>
      </x:c>
    </x:row>
    <x:row r="88">
      <x:c r="A88" s="67" t="str">
        <x:v>ALT087</x:v>
      </x:c>
      <x:c r="B88" s="68" t="str">
        <x:v>Bulgarian split squat</x:v>
      </x:c>
      <x:c r="C88" s="68" t="str">
        <x:v>Bodyweight split squat</x:v>
      </x:c>
      <x:c r="D88" s="68" t="str">
        <x:v>Equipment match</x:v>
      </x:c>
      <x:c r="E88" s="68" t="str">
        <x:v>Equipment-compatible option.</x:v>
      </x:c>
      <x:c r="F88" s="83" t="n">
        <x:v>46222.65625</x:v>
      </x:c>
    </x:row>
    <x:row r="89">
      <x:c r="A89" s="67" t="str">
        <x:v>ALT088</x:v>
      </x:c>
      <x:c r="B89" s="68" t="str">
        <x:v>Bulgarian split squat</x:v>
      </x:c>
      <x:c r="C89" s="68" t="str">
        <x:v>Leg press</x:v>
      </x:c>
      <x:c r="D89" s="68" t="str">
        <x:v>Equipment match</x:v>
      </x:c>
      <x:c r="E89" s="68" t="str">
        <x:v>Equipment-compatible option.</x:v>
      </x:c>
      <x:c r="F89" s="83" t="n">
        <x:v>46222.65625</x:v>
      </x:c>
    </x:row>
    <x:row r="90">
      <x:c r="A90" s="67" t="str">
        <x:v>ALT089</x:v>
      </x:c>
      <x:c r="B90" s="68" t="str">
        <x:v>Cable leg curl</x:v>
      </x:c>
      <x:c r="C90" s="68" t="str">
        <x:v>Seated leg curl</x:v>
      </x:c>
      <x:c r="D90" s="68" t="str">
        <x:v>Equipment match</x:v>
      </x:c>
      <x:c r="E90" s="68" t="str">
        <x:v>Equipment-compatible option.</x:v>
      </x:c>
      <x:c r="F90" s="83" t="n">
        <x:v>46222.65625</x:v>
      </x:c>
    </x:row>
    <x:row r="91">
      <x:c r="A91" s="67" t="str">
        <x:v>ALT090</x:v>
      </x:c>
      <x:c r="B91" s="68" t="str">
        <x:v>Cable leg curl</x:v>
      </x:c>
      <x:c r="C91" s="68" t="str">
        <x:v>Lying leg curl</x:v>
      </x:c>
      <x:c r="D91" s="68" t="str">
        <x:v>Equipment match</x:v>
      </x:c>
      <x:c r="E91" s="68" t="str">
        <x:v>Equipment-compatible option.</x:v>
      </x:c>
      <x:c r="F91" s="83" t="n">
        <x:v>46222.65625</x:v>
      </x:c>
    </x:row>
    <x:row r="92">
      <x:c r="A92" s="67" t="str">
        <x:v>ALT091</x:v>
      </x:c>
      <x:c r="B92" s="68" t="str">
        <x:v>Cable leg curl</x:v>
      </x:c>
      <x:c r="C92" s="68" t="str">
        <x:v>Banded leg curl</x:v>
      </x:c>
      <x:c r="D92" s="68" t="str">
        <x:v>Equipment match</x:v>
      </x:c>
      <x:c r="E92" s="68" t="str">
        <x:v>Equipment-compatible option.</x:v>
      </x:c>
      <x:c r="F92" s="83" t="n">
        <x:v>46222.65625</x:v>
      </x:c>
    </x:row>
    <x:row r="93">
      <x:c r="A93" s="67" t="str">
        <x:v>ALT092</x:v>
      </x:c>
      <x:c r="B93" s="68" t="str">
        <x:v>Cable leg curl</x:v>
      </x:c>
      <x:c r="C93" s="68" t="str">
        <x:v>Stability-ball leg curl</x:v>
      </x:c>
      <x:c r="D93" s="68" t="str">
        <x:v>Equipment match</x:v>
      </x:c>
      <x:c r="E93" s="68" t="str">
        <x:v>Equipment-compatible option.</x:v>
      </x:c>
      <x:c r="F93" s="83" t="n">
        <x:v>46222.65625</x:v>
      </x:c>
    </x:row>
    <x:row r="94">
      <x:c r="A94" s="67" t="str">
        <x:v>ALT093</x:v>
      </x:c>
      <x:c r="B94" s="68" t="str">
        <x:v>Cable leg curl</x:v>
      </x:c>
      <x:c r="C94" s="68" t="str">
        <x:v>Nordic hamstring curl</x:v>
      </x:c>
      <x:c r="D94" s="68" t="str">
        <x:v>Equipment match</x:v>
      </x:c>
      <x:c r="E94" s="68" t="str">
        <x:v>Equipment-compatible option.</x:v>
      </x:c>
      <x:c r="F94" s="83" t="n">
        <x:v>46222.65625</x:v>
      </x:c>
    </x:row>
    <x:row r="95">
      <x:c r="A95" s="67" t="str">
        <x:v>ALT094</x:v>
      </x:c>
      <x:c r="B95" s="68" t="str">
        <x:v>Standing calf raise</x:v>
      </x:c>
      <x:c r="C95" s="68" t="str">
        <x:v>Single-leg calf raise</x:v>
      </x:c>
      <x:c r="D95" s="68" t="str">
        <x:v>Equipment match</x:v>
      </x:c>
      <x:c r="E95" s="68" t="str">
        <x:v>Equipment-compatible option.</x:v>
      </x:c>
      <x:c r="F95" s="83" t="n">
        <x:v>46222.65625</x:v>
      </x:c>
    </x:row>
    <x:row r="96">
      <x:c r="A96" s="67" t="str">
        <x:v>ALT095</x:v>
      </x:c>
      <x:c r="B96" s="68" t="str">
        <x:v>Standing calf raise</x:v>
      </x:c>
      <x:c r="C96" s="68" t="str">
        <x:v>Seated calf raise</x:v>
      </x:c>
      <x:c r="D96" s="68" t="str">
        <x:v>Equipment match</x:v>
      </x:c>
      <x:c r="E96" s="68" t="str">
        <x:v>Equipment-compatible option.</x:v>
      </x:c>
      <x:c r="F96" s="83" t="n">
        <x:v>46222.65625</x:v>
      </x:c>
    </x:row>
    <x:row r="97">
      <x:c r="A97" s="67" t="str">
        <x:v>ALT096</x:v>
      </x:c>
      <x:c r="B97" s="68" t="str">
        <x:v>Barbell bench press</x:v>
      </x:c>
      <x:c r="C97" s="68" t="str">
        <x:v>Push-up</x:v>
      </x:c>
      <x:c r="D97" s="68" t="str">
        <x:v>Equipment match</x:v>
      </x:c>
      <x:c r="E97" s="68" t="str">
        <x:v>Equipment-compatible option.</x:v>
      </x:c>
      <x:c r="F97" s="83" t="n">
        <x:v>46222.65625</x:v>
      </x:c>
    </x:row>
    <x:row r="98">
      <x:c r="A98" s="67" t="str">
        <x:v>ALT097</x:v>
      </x:c>
      <x:c r="B98" s="68" t="str">
        <x:v>Barbell bench press</x:v>
      </x:c>
      <x:c r="C98" s="68" t="str">
        <x:v>Smith-machine bench press</x:v>
      </x:c>
      <x:c r="D98" s="68" t="str">
        <x:v>Equipment match</x:v>
      </x:c>
      <x:c r="E98" s="68" t="str">
        <x:v>Equipment-compatible option.</x:v>
      </x:c>
      <x:c r="F98" s="83" t="n">
        <x:v>46222.65625</x:v>
      </x:c>
    </x:row>
    <x:row r="99">
      <x:c r="A99" s="67" t="str">
        <x:v>ALT098</x:v>
      </x:c>
      <x:c r="B99" s="68" t="str">
        <x:v>Barbell bench press</x:v>
      </x:c>
      <x:c r="C99" s="68" t="str">
        <x:v>Chest press machine</x:v>
      </x:c>
      <x:c r="D99" s="68" t="str">
        <x:v>Equipment match</x:v>
      </x:c>
      <x:c r="E99" s="68" t="str">
        <x:v>Equipment-compatible option.</x:v>
      </x:c>
      <x:c r="F99" s="83" t="n">
        <x:v>46222.65625</x:v>
      </x:c>
    </x:row>
    <x:row r="100">
      <x:c r="A100" s="67" t="str">
        <x:v>ALT099</x:v>
      </x:c>
      <x:c r="B100" s="68" t="str">
        <x:v>Barbell bench press</x:v>
      </x:c>
      <x:c r="C100" s="68" t="str">
        <x:v>Swiss-bar bench press</x:v>
      </x:c>
      <x:c r="D100" s="68" t="str">
        <x:v>Equipment match</x:v>
      </x:c>
      <x:c r="E100" s="68" t="str">
        <x:v>Equipment-compatible option.</x:v>
      </x:c>
      <x:c r="F100" s="83" t="n">
        <x:v>46222.65625</x:v>
      </x:c>
    </x:row>
    <x:row r="101">
      <x:c r="A101" s="67" t="str">
        <x:v>ALT100</x:v>
      </x:c>
      <x:c r="B101" s="68" t="str">
        <x:v>Incline dumbbell press</x:v>
      </x:c>
      <x:c r="C101" s="68" t="str">
        <x:v>Feet-elevated push-up</x:v>
      </x:c>
      <x:c r="D101" s="68" t="str">
        <x:v>Equipment match</x:v>
      </x:c>
      <x:c r="E101" s="68" t="str">
        <x:v>Equipment-compatible option.</x:v>
      </x:c>
      <x:c r="F101" s="83" t="n">
        <x:v>46222.65625</x:v>
      </x:c>
    </x:row>
    <x:row r="102">
      <x:c r="A102" s="67" t="str">
        <x:v>ALT101</x:v>
      </x:c>
      <x:c r="B102" s="68" t="str">
        <x:v>Incline dumbbell press</x:v>
      </x:c>
      <x:c r="C102" s="68" t="str">
        <x:v>Landmine press</x:v>
      </x:c>
      <x:c r="D102" s="68" t="str">
        <x:v>Equipment match</x:v>
      </x:c>
      <x:c r="E102" s="68" t="str">
        <x:v>Equipment-compatible option.</x:v>
      </x:c>
      <x:c r="F102" s="83" t="n">
        <x:v>46222.65625</x:v>
      </x:c>
    </x:row>
    <x:row r="103">
      <x:c r="A103" s="67" t="str">
        <x:v>ALT102</x:v>
      </x:c>
      <x:c r="B103" s="68" t="str">
        <x:v>Incline dumbbell press</x:v>
      </x:c>
      <x:c r="C103" s="68" t="str">
        <x:v>Chest press machine</x:v>
      </x:c>
      <x:c r="D103" s="68" t="str">
        <x:v>Equipment match</x:v>
      </x:c>
      <x:c r="E103" s="68" t="str">
        <x:v>Equipment-compatible option.</x:v>
      </x:c>
      <x:c r="F103" s="83" t="n">
        <x:v>46222.65625</x:v>
      </x:c>
    </x:row>
    <x:row r="104">
      <x:c r="A104" s="67" t="str">
        <x:v>ALT103</x:v>
      </x:c>
      <x:c r="B104" s="68" t="str">
        <x:v>Cable lat pulldown or ring chin-up</x:v>
      </x:c>
      <x:c r="C104" s="68" t="str">
        <x:v>Pull-up</x:v>
      </x:c>
      <x:c r="D104" s="68" t="str">
        <x:v>Equipment match</x:v>
      </x:c>
      <x:c r="E104" s="68" t="str">
        <x:v>Equipment-compatible option.</x:v>
      </x:c>
      <x:c r="F104" s="83" t="n">
        <x:v>46222.65625</x:v>
      </x:c>
    </x:row>
    <x:row r="105">
      <x:c r="A105" s="67" t="str">
        <x:v>ALT104</x:v>
      </x:c>
      <x:c r="B105" s="68" t="str">
        <x:v>Cable lat pulldown or ring chin-up</x:v>
      </x:c>
      <x:c r="C105" s="68" t="str">
        <x:v>Band-assisted pull-up</x:v>
      </x:c>
      <x:c r="D105" s="68" t="str">
        <x:v>Equipment match</x:v>
      </x:c>
      <x:c r="E105" s="68" t="str">
        <x:v>Equipment-compatible option.</x:v>
      </x:c>
      <x:c r="F105" s="83" t="n">
        <x:v>46222.65625</x:v>
      </x:c>
    </x:row>
    <x:row r="106">
      <x:c r="A106" s="67" t="str">
        <x:v>ALT105</x:v>
      </x:c>
      <x:c r="B106" s="68" t="str">
        <x:v>Cable lat pulldown or ring chin-up</x:v>
      </x:c>
      <x:c r="C106" s="68" t="str">
        <x:v>Band lat pulldown</x:v>
      </x:c>
      <x:c r="D106" s="68" t="str">
        <x:v>Equipment match</x:v>
      </x:c>
      <x:c r="E106" s="68" t="str">
        <x:v>Equipment-compatible option.</x:v>
      </x:c>
      <x:c r="F106" s="83" t="n">
        <x:v>46222.65625</x:v>
      </x:c>
    </x:row>
    <x:row r="107">
      <x:c r="A107" s="67" t="str">
        <x:v>ALT106</x:v>
      </x:c>
      <x:c r="B107" s="68" t="str">
        <x:v>Pulldown or chin-up</x:v>
      </x:c>
      <x:c r="C107" s="68" t="str">
        <x:v>Pull-up</x:v>
      </x:c>
      <x:c r="D107" s="68" t="str">
        <x:v>Equipment match</x:v>
      </x:c>
      <x:c r="E107" s="68" t="str">
        <x:v>Equipment-compatible option.</x:v>
      </x:c>
      <x:c r="F107" s="83" t="n">
        <x:v>46222.65625</x:v>
      </x:c>
    </x:row>
    <x:row r="108">
      <x:c r="A108" s="67" t="str">
        <x:v>ALT107</x:v>
      </x:c>
      <x:c r="B108" s="68" t="str">
        <x:v>Pulldown or chin-up</x:v>
      </x:c>
      <x:c r="C108" s="68" t="str">
        <x:v>Band-assisted pull-up</x:v>
      </x:c>
      <x:c r="D108" s="68" t="str">
        <x:v>Equipment match</x:v>
      </x:c>
      <x:c r="E108" s="68" t="str">
        <x:v>Equipment-compatible option.</x:v>
      </x:c>
      <x:c r="F108" s="83" t="n">
        <x:v>46222.65625</x:v>
      </x:c>
    </x:row>
    <x:row r="109">
      <x:c r="A109" s="67" t="str">
        <x:v>ALT108</x:v>
      </x:c>
      <x:c r="B109" s="68" t="str">
        <x:v>Pulldown or chin-up</x:v>
      </x:c>
      <x:c r="C109" s="68" t="str">
        <x:v>Band lat pulldown</x:v>
      </x:c>
      <x:c r="D109" s="68" t="str">
        <x:v>Equipment match</x:v>
      </x:c>
      <x:c r="E109" s="68" t="str">
        <x:v>Equipment-compatible option.</x:v>
      </x:c>
      <x:c r="F109" s="83" t="n">
        <x:v>46222.65625</x:v>
      </x:c>
    </x:row>
    <x:row r="110">
      <x:c r="A110" s="67" t="str">
        <x:v>ALT109</x:v>
      </x:c>
      <x:c r="B110" s="68" t="str">
        <x:v>Weighted chin-up or heavy pulldown</x:v>
      </x:c>
      <x:c r="C110" s="68" t="str">
        <x:v>Pull-up</x:v>
      </x:c>
      <x:c r="D110" s="68" t="str">
        <x:v>Equipment match</x:v>
      </x:c>
      <x:c r="E110" s="68" t="str">
        <x:v>Equipment-compatible option.</x:v>
      </x:c>
      <x:c r="F110" s="83" t="n">
        <x:v>46222.65625</x:v>
      </x:c>
    </x:row>
    <x:row r="111">
      <x:c r="A111" s="67" t="str">
        <x:v>ALT110</x:v>
      </x:c>
      <x:c r="B111" s="68" t="str">
        <x:v>Weighted chin-up or heavy pulldown</x:v>
      </x:c>
      <x:c r="C111" s="68" t="str">
        <x:v>Ring chin-up</x:v>
      </x:c>
      <x:c r="D111" s="68" t="str">
        <x:v>Equipment match</x:v>
      </x:c>
      <x:c r="E111" s="68" t="str">
        <x:v>Equipment-compatible option.</x:v>
      </x:c>
      <x:c r="F111" s="83" t="n">
        <x:v>46222.65625</x:v>
      </x:c>
    </x:row>
    <x:row r="112">
      <x:c r="A112" s="67" t="str">
        <x:v>ALT111</x:v>
      </x:c>
      <x:c r="B112" s="68" t="str">
        <x:v>Weighted chin-up or heavy pulldown</x:v>
      </x:c>
      <x:c r="C112" s="68" t="str">
        <x:v>Band lat pulldown</x:v>
      </x:c>
      <x:c r="D112" s="68" t="str">
        <x:v>Equipment match</x:v>
      </x:c>
      <x:c r="E112" s="68" t="str">
        <x:v>Equipment-compatible option.</x:v>
      </x:c>
      <x:c r="F112" s="83" t="n">
        <x:v>46222.65625</x:v>
      </x:c>
    </x:row>
    <x:row r="113">
      <x:c r="A113" s="67" t="str">
        <x:v>ALT112</x:v>
      </x:c>
      <x:c r="B113" s="68" t="str">
        <x:v>Chest-supported dumbbell row</x:v>
      </x:c>
      <x:c r="C113" s="68" t="str">
        <x:v>One-arm dumbbell row</x:v>
      </x:c>
      <x:c r="D113" s="68" t="str">
        <x:v>Equipment match</x:v>
      </x:c>
      <x:c r="E113" s="68" t="str">
        <x:v>Equipment-compatible option.</x:v>
      </x:c>
      <x:c r="F113" s="83" t="n">
        <x:v>46222.65625</x:v>
      </x:c>
    </x:row>
    <x:row r="114">
      <x:c r="A114" s="67" t="str">
        <x:v>ALT113</x:v>
      </x:c>
      <x:c r="B114" s="68" t="str">
        <x:v>Chest-supported dumbbell row</x:v>
      </x:c>
      <x:c r="C114" s="68" t="str">
        <x:v>Band row</x:v>
      </x:c>
      <x:c r="D114" s="68" t="str">
        <x:v>Equipment match</x:v>
      </x:c>
      <x:c r="E114" s="68" t="str">
        <x:v>Equipment-compatible option.</x:v>
      </x:c>
      <x:c r="F114" s="83" t="n">
        <x:v>46222.65625</x:v>
      </x:c>
    </x:row>
    <x:row r="115">
      <x:c r="A115" s="67" t="str">
        <x:v>ALT114</x:v>
      </x:c>
      <x:c r="B115" s="68" t="str">
        <x:v>Chest-supported dumbbell row</x:v>
      </x:c>
      <x:c r="C115" s="68" t="str">
        <x:v>Landmine T-bar row</x:v>
      </x:c>
      <x:c r="D115" s="68" t="str">
        <x:v>Equipment match</x:v>
      </x:c>
      <x:c r="E115" s="68" t="str">
        <x:v>Equipment-compatible option.</x:v>
      </x:c>
      <x:c r="F115" s="83" t="n">
        <x:v>46222.65625</x:v>
      </x:c>
    </x:row>
    <x:row r="116">
      <x:c r="A116" s="67" t="str">
        <x:v>ALT115</x:v>
      </x:c>
      <x:c r="B116" s="68" t="str">
        <x:v>One-arm cable row</x:v>
      </x:c>
      <x:c r="C116" s="68" t="str">
        <x:v>One-arm dumbbell row</x:v>
      </x:c>
      <x:c r="D116" s="68" t="str">
        <x:v>Equipment match</x:v>
      </x:c>
      <x:c r="E116" s="68" t="str">
        <x:v>Equipment-compatible option.</x:v>
      </x:c>
      <x:c r="F116" s="83" t="n">
        <x:v>46222.65625</x:v>
      </x:c>
    </x:row>
    <x:row r="117">
      <x:c r="A117" s="67" t="str">
        <x:v>ALT116</x:v>
      </x:c>
      <x:c r="B117" s="68" t="str">
        <x:v>One-arm cable row</x:v>
      </x:c>
      <x:c r="C117" s="68" t="str">
        <x:v>Band row</x:v>
      </x:c>
      <x:c r="D117" s="68" t="str">
        <x:v>Equipment match</x:v>
      </x:c>
      <x:c r="E117" s="68" t="str">
        <x:v>Equipment-compatible option.</x:v>
      </x:c>
      <x:c r="F117" s="83" t="n">
        <x:v>46222.65625</x:v>
      </x:c>
    </x:row>
    <x:row r="118">
      <x:c r="A118" s="67" t="str">
        <x:v>ALT117</x:v>
      </x:c>
      <x:c r="B118" s="68" t="str">
        <x:v>One-arm cable row</x:v>
      </x:c>
      <x:c r="C118" s="68" t="str">
        <x:v>Landmine T-bar row</x:v>
      </x:c>
      <x:c r="D118" s="68" t="str">
        <x:v>Equipment match</x:v>
      </x:c>
      <x:c r="E118" s="68" t="str">
        <x:v>Equipment-compatible option.</x:v>
      </x:c>
      <x:c r="F118" s="83" t="n">
        <x:v>46222.65625</x:v>
      </x:c>
    </x:row>
    <x:row r="119">
      <x:c r="A119" s="67" t="str">
        <x:v>ALT118</x:v>
      </x:c>
      <x:c r="B119" s="68" t="str">
        <x:v>Seated dumbbell overhead press</x:v>
      </x:c>
      <x:c r="C119" s="68" t="str">
        <x:v>Arnold press</x:v>
      </x:c>
      <x:c r="D119" s="68" t="str">
        <x:v>Equipment match</x:v>
      </x:c>
      <x:c r="E119" s="68" t="str">
        <x:v>Equipment-compatible option.</x:v>
      </x:c>
      <x:c r="F119" s="83" t="n">
        <x:v>46222.65625</x:v>
      </x:c>
    </x:row>
    <x:row r="120">
      <x:c r="A120" s="67" t="str">
        <x:v>ALT119</x:v>
      </x:c>
      <x:c r="B120" s="68" t="str">
        <x:v>Seated dumbbell overhead press</x:v>
      </x:c>
      <x:c r="C120" s="68" t="str">
        <x:v>Landmine press</x:v>
      </x:c>
      <x:c r="D120" s="68" t="str">
        <x:v>Equipment match</x:v>
      </x:c>
      <x:c r="E120" s="68" t="str">
        <x:v>Equipment-compatible option.</x:v>
      </x:c>
      <x:c r="F120" s="83" t="n">
        <x:v>46222.65625</x:v>
      </x:c>
    </x:row>
    <x:row r="121">
      <x:c r="A121" s="67" t="str">
        <x:v>ALT120</x:v>
      </x:c>
      <x:c r="B121" s="68" t="str">
        <x:v>Seated dumbbell overhead press</x:v>
      </x:c>
      <x:c r="C121" s="68" t="str">
        <x:v>Pike push-up</x:v>
      </x:c>
      <x:c r="D121" s="68" t="str">
        <x:v>Equipment match</x:v>
      </x:c>
      <x:c r="E121" s="68" t="str">
        <x:v>Equipment-compatible option.</x:v>
      </x:c>
      <x:c r="F121" s="83" t="n">
        <x:v>46222.65625</x:v>
      </x:c>
    </x:row>
    <x:row r="122">
      <x:c r="A122" s="67" t="str">
        <x:v>ALT121</x:v>
      </x:c>
      <x:c r="B122" s="68" t="str">
        <x:v>Close-grip bench press or weighted ring push-up</x:v>
      </x:c>
      <x:c r="C122" s="68" t="str">
        <x:v>Close-grip bench press</x:v>
      </x:c>
      <x:c r="D122" s="68" t="str">
        <x:v>Equipment match</x:v>
      </x:c>
      <x:c r="E122" s="68" t="str">
        <x:v>Equipment-compatible option.</x:v>
      </x:c>
      <x:c r="F122" s="83" t="n">
        <x:v>46222.65625</x:v>
      </x:c>
    </x:row>
    <x:row r="123">
      <x:c r="A123" s="67" t="str">
        <x:v>ALT122</x:v>
      </x:c>
      <x:c r="B123" s="68" t="str">
        <x:v>Close-grip bench press or weighted ring push-up</x:v>
      </x:c>
      <x:c r="C123" s="68" t="str">
        <x:v>Weighted ring push-up</x:v>
      </x:c>
      <x:c r="D123" s="68" t="str">
        <x:v>Equipment match</x:v>
      </x:c>
      <x:c r="E123" s="68" t="str">
        <x:v>Equipment-compatible option.</x:v>
      </x:c>
      <x:c r="F123" s="83" t="n">
        <x:v>46222.65625</x:v>
      </x:c>
    </x:row>
    <x:row r="124">
      <x:c r="A124" s="67" t="str">
        <x:v>ALT123</x:v>
      </x:c>
      <x:c r="B124" s="68" t="str">
        <x:v>Close-grip bench press or weighted ring push-up</x:v>
      </x:c>
      <x:c r="C124" s="68" t="str">
        <x:v>Parallel-bar dip</x:v>
      </x:c>
      <x:c r="D124" s="68" t="str">
        <x:v>Equipment match</x:v>
      </x:c>
      <x:c r="E124" s="68" t="str">
        <x:v>Equipment-compatible option.</x:v>
      </x:c>
      <x:c r="F124" s="83" t="n">
        <x:v>46222.65625</x:v>
      </x:c>
    </x:row>
    <x:row r="125">
      <x:c r="A125" s="67" t="str">
        <x:v>ALT124</x:v>
      </x:c>
      <x:c r="B125" s="68" t="str">
        <x:v>Close-grip bench press or weighted ring push-up</x:v>
      </x:c>
      <x:c r="C125" s="68" t="str">
        <x:v>Close-grip push-up</x:v>
      </x:c>
      <x:c r="D125" s="68" t="str">
        <x:v>Equipment match</x:v>
      </x:c>
      <x:c r="E125" s="68" t="str">
        <x:v>Equipment-compatible option.</x:v>
      </x:c>
      <x:c r="F125" s="83" t="n">
        <x:v>46222.65625</x:v>
      </x:c>
    </x:row>
    <x:row r="126">
      <x:c r="A126" s="67" t="str">
        <x:v>ALT125</x:v>
      </x:c>
      <x:c r="B126" s="68" t="str">
        <x:v>Close-grip bench press or weighted ring push-up</x:v>
      </x:c>
      <x:c r="C126" s="68" t="str">
        <x:v>Band-assisted dip</x:v>
      </x:c>
      <x:c r="D126" s="68" t="str">
        <x:v>Equipment match</x:v>
      </x:c>
      <x:c r="E126" s="68" t="str">
        <x:v>Equipment-compatible option.</x:v>
      </x:c>
      <x:c r="F126" s="83" t="n">
        <x:v>46222.65625</x:v>
      </x:c>
    </x:row>
    <x:row r="127">
      <x:c r="A127" s="67" t="str">
        <x:v>ALT126</x:v>
      </x:c>
      <x:c r="B127" s="68" t="str">
        <x:v>Cable lateral raise</x:v>
      </x:c>
      <x:c r="C127" s="68" t="str">
        <x:v>Band lateral raise</x:v>
      </x:c>
      <x:c r="D127" s="68" t="str">
        <x:v>Equipment match</x:v>
      </x:c>
      <x:c r="E127" s="68" t="str">
        <x:v>Equipment-compatible option.</x:v>
      </x:c>
      <x:c r="F127" s="83" t="n">
        <x:v>46222.65625</x:v>
      </x:c>
    </x:row>
    <x:row r="128">
      <x:c r="A128" s="67" t="str">
        <x:v>ALT127</x:v>
      </x:c>
      <x:c r="B128" s="68" t="str">
        <x:v>Cable rear-delt fly or face pull</x:v>
      </x:c>
      <x:c r="C128" s="68" t="str">
        <x:v>Dumbbell rear-delt fly</x:v>
      </x:c>
      <x:c r="D128" s="68" t="str">
        <x:v>Equipment match</x:v>
      </x:c>
      <x:c r="E128" s="68" t="str">
        <x:v>Equipment-compatible option.</x:v>
      </x:c>
      <x:c r="F128" s="83" t="n">
        <x:v>46222.65625</x:v>
      </x:c>
    </x:row>
    <x:row r="129">
      <x:c r="A129" s="67" t="str">
        <x:v>ALT128</x:v>
      </x:c>
      <x:c r="B129" s="68" t="str">
        <x:v>Cable rear-delt fly or face pull</x:v>
      </x:c>
      <x:c r="C129" s="68" t="str">
        <x:v>Reverse pec deck</x:v>
      </x:c>
      <x:c r="D129" s="68" t="str">
        <x:v>Equipment match</x:v>
      </x:c>
      <x:c r="E129" s="68" t="str">
        <x:v>Equipment-compatible option.</x:v>
      </x:c>
      <x:c r="F129" s="83" t="n">
        <x:v>46222.65625</x:v>
      </x:c>
    </x:row>
    <x:row r="130">
      <x:c r="A130" s="67" t="str">
        <x:v>ALT129</x:v>
      </x:c>
      <x:c r="B130" s="68" t="str">
        <x:v>Cable rear-delt fly or face pull</x:v>
      </x:c>
      <x:c r="C130" s="68" t="str">
        <x:v>Band face pull</x:v>
      </x:c>
      <x:c r="D130" s="68" t="str">
        <x:v>Equipment match</x:v>
      </x:c>
      <x:c r="E130" s="68" t="str">
        <x:v>Equipment-compatible option.</x:v>
      </x:c>
      <x:c r="F130" s="83" t="n">
        <x:v>46222.65625</x:v>
      </x:c>
    </x:row>
    <x:row r="131">
      <x:c r="A131" s="67" t="str">
        <x:v>ALT130</x:v>
      </x:c>
      <x:c r="B131" s="68" t="str">
        <x:v>Rear-delt cable fly</x:v>
      </x:c>
      <x:c r="C131" s="68" t="str">
        <x:v>Dumbbell rear-delt fly</x:v>
      </x:c>
      <x:c r="D131" s="68" t="str">
        <x:v>Equipment match</x:v>
      </x:c>
      <x:c r="E131" s="68" t="str">
        <x:v>Equipment-compatible option.</x:v>
      </x:c>
      <x:c r="F131" s="83" t="n">
        <x:v>46222.65625</x:v>
      </x:c>
    </x:row>
    <x:row r="132">
      <x:c r="A132" s="67" t="str">
        <x:v>ALT131</x:v>
      </x:c>
      <x:c r="B132" s="68" t="str">
        <x:v>Rear-delt cable fly</x:v>
      </x:c>
      <x:c r="C132" s="68" t="str">
        <x:v>Reverse pec deck</x:v>
      </x:c>
      <x:c r="D132" s="68" t="str">
        <x:v>Equipment match</x:v>
      </x:c>
      <x:c r="E132" s="68" t="str">
        <x:v>Equipment-compatible option.</x:v>
      </x:c>
      <x:c r="F132" s="83" t="n">
        <x:v>46222.65625</x:v>
      </x:c>
    </x:row>
    <x:row r="133">
      <x:c r="A133" s="67" t="str">
        <x:v>ALT132</x:v>
      </x:c>
      <x:c r="B133" s="68" t="str">
        <x:v>Rear-delt cable fly</x:v>
      </x:c>
      <x:c r="C133" s="68" t="str">
        <x:v>Band face pull</x:v>
      </x:c>
      <x:c r="D133" s="68" t="str">
        <x:v>Equipment match</x:v>
      </x:c>
      <x:c r="E133" s="68" t="str">
        <x:v>Equipment-compatible option.</x:v>
      </x:c>
      <x:c r="F133" s="83" t="n">
        <x:v>46222.65625</x:v>
      </x:c>
    </x:row>
    <x:row r="134">
      <x:c r="A134" s="67" t="str">
        <x:v>ALT133</x:v>
      </x:c>
      <x:c r="B134" s="68" t="str">
        <x:v>Cable triceps pushdown</x:v>
      </x:c>
      <x:c r="C134" s="68" t="str">
        <x:v>Band triceps pushdown</x:v>
      </x:c>
      <x:c r="D134" s="68" t="str">
        <x:v>Equipment match</x:v>
      </x:c>
      <x:c r="E134" s="68" t="str">
        <x:v>Equipment-compatible option.</x:v>
      </x:c>
      <x:c r="F134" s="83" t="n">
        <x:v>46222.65625</x:v>
      </x:c>
    </x:row>
    <x:row r="135">
      <x:c r="A135" s="67" t="str">
        <x:v>ALT134</x:v>
      </x:c>
      <x:c r="B135" s="68" t="str">
        <x:v>Cable triceps pushdown</x:v>
      </x:c>
      <x:c r="C135" s="68" t="str">
        <x:v>Dumbbell skull crusher</x:v>
      </x:c>
      <x:c r="D135" s="68" t="str">
        <x:v>Equipment match</x:v>
      </x:c>
      <x:c r="E135" s="68" t="str">
        <x:v>Equipment-compatible option.</x:v>
      </x:c>
      <x:c r="F135" s="83" t="n">
        <x:v>46222.65625</x:v>
      </x:c>
    </x:row>
    <x:row r="136">
      <x:c r="A136" s="67" t="str">
        <x:v>ALT135</x:v>
      </x:c>
      <x:c r="B136" s="68" t="str">
        <x:v>Cable triceps pushdown</x:v>
      </x:c>
      <x:c r="C136" s="68" t="str">
        <x:v>EZ-bar skull crusher</x:v>
      </x:c>
      <x:c r="D136" s="68" t="str">
        <x:v>Equipment match</x:v>
      </x:c>
      <x:c r="E136" s="68" t="str">
        <x:v>Equipment-compatible option.</x:v>
      </x:c>
      <x:c r="F136" s="83" t="n">
        <x:v>46222.65625</x:v>
      </x:c>
    </x:row>
    <x:row r="137">
      <x:c r="A137" s="67" t="str">
        <x:v>ALT136</x:v>
      </x:c>
      <x:c r="B137" s="68" t="str">
        <x:v>Cable triceps pushdown</x:v>
      </x:c>
      <x:c r="C137" s="68" t="str">
        <x:v>Close-grip push-up</x:v>
      </x:c>
      <x:c r="D137" s="68" t="str">
        <x:v>Equipment match</x:v>
      </x:c>
      <x:c r="E137" s="68" t="str">
        <x:v>Equipment-compatible option.</x:v>
      </x:c>
      <x:c r="F137" s="83" t="n">
        <x:v>46222.65625</x:v>
      </x:c>
    </x:row>
    <x:row r="138">
      <x:c r="A138" s="67" t="str">
        <x:v>ALT137</x:v>
      </x:c>
      <x:c r="B138" s="68" t="str">
        <x:v>Overhead cable triceps extension</x:v>
      </x:c>
      <x:c r="C138" s="68" t="str">
        <x:v>Dumbbell skull crusher</x:v>
      </x:c>
      <x:c r="D138" s="68" t="str">
        <x:v>Equipment match</x:v>
      </x:c>
      <x:c r="E138" s="68" t="str">
        <x:v>Equipment-compatible option.</x:v>
      </x:c>
      <x:c r="F138" s="83" t="n">
        <x:v>46222.65625</x:v>
      </x:c>
    </x:row>
    <x:row r="139">
      <x:c r="A139" s="67" t="str">
        <x:v>ALT138</x:v>
      </x:c>
      <x:c r="B139" s="68" t="str">
        <x:v>Overhead cable triceps extension</x:v>
      </x:c>
      <x:c r="C139" s="68" t="str">
        <x:v>EZ-bar skull crusher</x:v>
      </x:c>
      <x:c r="D139" s="68" t="str">
        <x:v>Equipment match</x:v>
      </x:c>
      <x:c r="E139" s="68" t="str">
        <x:v>Equipment-compatible option.</x:v>
      </x:c>
      <x:c r="F139" s="83" t="n">
        <x:v>46222.65625</x:v>
      </x:c>
    </x:row>
    <x:row r="140">
      <x:c r="A140" s="67" t="str">
        <x:v>ALT139</x:v>
      </x:c>
      <x:c r="B140" s="68" t="str">
        <x:v>Overhead cable triceps extension</x:v>
      </x:c>
      <x:c r="C140" s="68" t="str">
        <x:v>Band triceps pushdown</x:v>
      </x:c>
      <x:c r="D140" s="68" t="str">
        <x:v>Equipment match</x:v>
      </x:c>
      <x:c r="E140" s="68" t="str">
        <x:v>Equipment-compatible option.</x:v>
      </x:c>
      <x:c r="F140" s="83" t="n">
        <x:v>46222.65625</x:v>
      </x:c>
    </x:row>
    <x:row r="141">
      <x:c r="A141" s="67" t="str">
        <x:v>ALT140</x:v>
      </x:c>
      <x:c r="B141" s="68" t="str">
        <x:v>Overhead triceps extension</x:v>
      </x:c>
      <x:c r="C141" s="68" t="str">
        <x:v>Overhead cable triceps extension</x:v>
      </x:c>
      <x:c r="D141" s="68" t="str">
        <x:v>Equipment match</x:v>
      </x:c>
      <x:c r="E141" s="68" t="str">
        <x:v>Equipment-compatible option.</x:v>
      </x:c>
      <x:c r="F141" s="83" t="n">
        <x:v>46222.65625</x:v>
      </x:c>
    </x:row>
    <x:row r="142">
      <x:c r="A142" s="67" t="str">
        <x:v>ALT141</x:v>
      </x:c>
      <x:c r="B142" s="68" t="str">
        <x:v>Overhead triceps extension</x:v>
      </x:c>
      <x:c r="C142" s="68" t="str">
        <x:v>Dumbbell skull crusher</x:v>
      </x:c>
      <x:c r="D142" s="68" t="str">
        <x:v>Equipment match</x:v>
      </x:c>
      <x:c r="E142" s="68" t="str">
        <x:v>Equipment-compatible option.</x:v>
      </x:c>
      <x:c r="F142" s="83" t="n">
        <x:v>46222.65625</x:v>
      </x:c>
    </x:row>
    <x:row r="143">
      <x:c r="A143" s="67" t="str">
        <x:v>ALT142</x:v>
      </x:c>
      <x:c r="B143" s="68" t="str">
        <x:v>Overhead triceps extension</x:v>
      </x:c>
      <x:c r="C143" s="68" t="str">
        <x:v>EZ-bar skull crusher</x:v>
      </x:c>
      <x:c r="D143" s="68" t="str">
        <x:v>Equipment match</x:v>
      </x:c>
      <x:c r="E143" s="68" t="str">
        <x:v>Equipment-compatible option.</x:v>
      </x:c>
      <x:c r="F143" s="83" t="n">
        <x:v>46222.65625</x:v>
      </x:c>
    </x:row>
    <x:row r="144">
      <x:c r="A144" s="67" t="str">
        <x:v>ALT143</x:v>
      </x:c>
      <x:c r="B144" s="68" t="str">
        <x:v>Overhead triceps extension</x:v>
      </x:c>
      <x:c r="C144" s="68" t="str">
        <x:v>Band triceps pushdown</x:v>
      </x:c>
      <x:c r="D144" s="68" t="str">
        <x:v>Equipment match</x:v>
      </x:c>
      <x:c r="E144" s="68" t="str">
        <x:v>Equipment-compatible option.</x:v>
      </x:c>
      <x:c r="F144" s="83" t="n">
        <x:v>46222.65625</x:v>
      </x:c>
    </x:row>
    <x:row r="145">
      <x:c r="A145" s="67" t="str">
        <x:v>ALT144</x:v>
      </x:c>
      <x:c r="B145" s="68" t="str">
        <x:v>Incline dumbbell or cable curl</x:v>
      </x:c>
      <x:c r="C145" s="68" t="str">
        <x:v>EZ-bar curl</x:v>
      </x:c>
      <x:c r="D145" s="68" t="str">
        <x:v>Equipment match</x:v>
      </x:c>
      <x:c r="E145" s="68" t="str">
        <x:v>Equipment-compatible option.</x:v>
      </x:c>
      <x:c r="F145" s="83" t="n">
        <x:v>46222.65625</x:v>
      </x:c>
    </x:row>
    <x:row r="146">
      <x:c r="A146" s="67" t="str">
        <x:v>ALT145</x:v>
      </x:c>
      <x:c r="B146" s="68" t="str">
        <x:v>Incline dumbbell or cable curl</x:v>
      </x:c>
      <x:c r="C146" s="68" t="str">
        <x:v>Band curl</x:v>
      </x:c>
      <x:c r="D146" s="68" t="str">
        <x:v>Equipment match</x:v>
      </x:c>
      <x:c r="E146" s="68" t="str">
        <x:v>Equipment-compatible option.</x:v>
      </x:c>
      <x:c r="F146" s="83" t="n">
        <x:v>46222.65625</x:v>
      </x:c>
    </x:row>
    <x:row r="147">
      <x:c r="A147" s="67" t="str">
        <x:v>ALT146</x:v>
      </x:c>
      <x:c r="B147" s="68" t="str">
        <x:v>Incline dumbbell or cable curl</x:v>
      </x:c>
      <x:c r="C147" s="68" t="str">
        <x:v>Preacher curl</x:v>
      </x:c>
      <x:c r="D147" s="68" t="str">
        <x:v>Equipment match</x:v>
      </x:c>
      <x:c r="E147" s="68" t="str">
        <x:v>Equipment-compatible option.</x:v>
      </x:c>
      <x:c r="F147" s="83" t="n">
        <x:v>46222.65625</x:v>
      </x:c>
    </x:row>
    <x:row r="148">
      <x:c r="A148" s="67" t="str">
        <x:v>ALT147</x:v>
      </x:c>
      <x:c r="B148" s="68" t="str">
        <x:v>Cable curl</x:v>
      </x:c>
      <x:c r="C148" s="68" t="str">
        <x:v>Incline dumbbell curl</x:v>
      </x:c>
      <x:c r="D148" s="68" t="str">
        <x:v>Equipment match</x:v>
      </x:c>
      <x:c r="E148" s="68" t="str">
        <x:v>Equipment-compatible option.</x:v>
      </x:c>
      <x:c r="F148" s="83" t="n">
        <x:v>46222.65625</x:v>
      </x:c>
    </x:row>
    <x:row r="149">
      <x:c r="A149" s="67" t="str">
        <x:v>ALT148</x:v>
      </x:c>
      <x:c r="B149" s="68" t="str">
        <x:v>Cable curl</x:v>
      </x:c>
      <x:c r="C149" s="68" t="str">
        <x:v>Dumbbell hammer curl</x:v>
      </x:c>
      <x:c r="D149" s="68" t="str">
        <x:v>Equipment match</x:v>
      </x:c>
      <x:c r="E149" s="68" t="str">
        <x:v>Equipment-compatible option.</x:v>
      </x:c>
      <x:c r="F149" s="83" t="n">
        <x:v>46222.65625</x:v>
      </x:c>
    </x:row>
    <x:row r="150">
      <x:c r="A150" s="67" t="str">
        <x:v>ALT149</x:v>
      </x:c>
      <x:c r="B150" s="68" t="str">
        <x:v>Cable curl</x:v>
      </x:c>
      <x:c r="C150" s="68" t="str">
        <x:v>EZ-bar curl</x:v>
      </x:c>
      <x:c r="D150" s="68" t="str">
        <x:v>Equipment match</x:v>
      </x:c>
      <x:c r="E150" s="68" t="str">
        <x:v>Equipment-compatible option.</x:v>
      </x:c>
      <x:c r="F150" s="83" t="n">
        <x:v>46222.65625</x:v>
      </x:c>
    </x:row>
    <x:row r="151">
      <x:c r="A151" s="67" t="str">
        <x:v>ALT150</x:v>
      </x:c>
      <x:c r="B151" s="68" t="str">
        <x:v>Cable curl</x:v>
      </x:c>
      <x:c r="C151" s="68" t="str">
        <x:v>Band curl</x:v>
      </x:c>
      <x:c r="D151" s="68" t="str">
        <x:v>Equipment match</x:v>
      </x:c>
      <x:c r="E151" s="68" t="str">
        <x:v>Equipment-compatible option.</x:v>
      </x:c>
      <x:c r="F151" s="83" t="n">
        <x:v>46222.65625</x:v>
      </x:c>
    </x:row>
    <x:row r="152">
      <x:c r="A152" s="67" t="str">
        <x:v>ALT151</x:v>
      </x:c>
      <x:c r="B152" s="68" t="str">
        <x:v>Cable curl</x:v>
      </x:c>
      <x:c r="C152" s="68" t="str">
        <x:v>Preacher curl</x:v>
      </x:c>
      <x:c r="D152" s="68" t="str">
        <x:v>Equipment match</x:v>
      </x:c>
      <x:c r="E152" s="68" t="str">
        <x:v>Equipment-compatible option.</x:v>
      </x:c>
      <x:c r="F152" s="83" t="n">
        <x:v>46222.65625</x:v>
      </x:c>
    </x:row>
    <x:row r="153">
      <x:c r="A153" s="67" t="str">
        <x:v>ALT152</x:v>
      </x:c>
      <x:c r="B153" s="68" t="str">
        <x:v>Dumbbell hammer curl</x:v>
      </x:c>
      <x:c r="C153" s="68" t="str">
        <x:v>EZ-bar curl</x:v>
      </x:c>
      <x:c r="D153" s="68" t="str">
        <x:v>Equipment match</x:v>
      </x:c>
      <x:c r="E153" s="68" t="str">
        <x:v>Equipment-compatible option.</x:v>
      </x:c>
      <x:c r="F153" s="83" t="n">
        <x:v>46222.65625</x:v>
      </x:c>
    </x:row>
    <x:row r="154">
      <x:c r="A154" s="67" t="str">
        <x:v>ALT153</x:v>
      </x:c>
      <x:c r="B154" s="68" t="str">
        <x:v>Dumbbell hammer curl</x:v>
      </x:c>
      <x:c r="C154" s="68" t="str">
        <x:v>Band curl</x:v>
      </x:c>
      <x:c r="D154" s="68" t="str">
        <x:v>Equipment match</x:v>
      </x:c>
      <x:c r="E154" s="68" t="str">
        <x:v>Equipment-compatible option.</x:v>
      </x:c>
      <x:c r="F154" s="83" t="n">
        <x:v>46222.65625</x:v>
      </x:c>
    </x:row>
    <x:row r="155">
      <x:c r="A155" s="67" t="str">
        <x:v>ALT154</x:v>
      </x:c>
      <x:c r="B155" s="68" t="str">
        <x:v>Hammer curl</x:v>
      </x:c>
      <x:c r="C155" s="68" t="str">
        <x:v>Dumbbell hammer curl</x:v>
      </x:c>
      <x:c r="D155" s="68" t="str">
        <x:v>Equipment match</x:v>
      </x:c>
      <x:c r="E155" s="68" t="str">
        <x:v>Equipment-compatible option.</x:v>
      </x:c>
      <x:c r="F155" s="83" t="n">
        <x:v>46222.65625</x:v>
      </x:c>
    </x:row>
    <x:row r="156">
      <x:c r="A156" s="67" t="str">
        <x:v>ALT155</x:v>
      </x:c>
      <x:c r="B156" s="68" t="str">
        <x:v>Hammer curl</x:v>
      </x:c>
      <x:c r="C156" s="68" t="str">
        <x:v>Cable curl</x:v>
      </x:c>
      <x:c r="D156" s="68" t="str">
        <x:v>Equipment match</x:v>
      </x:c>
      <x:c r="E156" s="68" t="str">
        <x:v>Equipment-compatible option.</x:v>
      </x:c>
      <x:c r="F156" s="83" t="n">
        <x:v>46222.65625</x:v>
      </x:c>
    </x:row>
    <x:row r="157">
      <x:c r="A157" s="67" t="str">
        <x:v>ALT156</x:v>
      </x:c>
      <x:c r="B157" s="68" t="str">
        <x:v>Hammer curl</x:v>
      </x:c>
      <x:c r="C157" s="68" t="str">
        <x:v>Band curl</x:v>
      </x:c>
      <x:c r="D157" s="68" t="str">
        <x:v>Equipment match</x:v>
      </x:c>
      <x:c r="E157" s="68" t="str">
        <x:v>Equipment-compatible option.</x:v>
      </x:c>
      <x:c r="F157" s="83" t="n">
        <x:v>46222.65625</x:v>
      </x:c>
    </x:row>
    <x:row r="158">
      <x:c r="A158" s="67" t="str">
        <x:v>ALT157</x:v>
      </x:c>
      <x:c r="B158" s="68" t="str">
        <x:v>Dead bug or Pallof press</x:v>
      </x:c>
      <x:c r="C158" s="68" t="str">
        <x:v>Band Pallof press</x:v>
      </x:c>
      <x:c r="D158" s="68" t="str">
        <x:v>Equipment match</x:v>
      </x:c>
      <x:c r="E158" s="68" t="str">
        <x:v>Equipment-compatible option.</x:v>
      </x:c>
      <x:c r="F158" s="83" t="n">
        <x:v>46222.65625</x:v>
      </x:c>
    </x:row>
    <x:row r="159">
      <x:c r="A159" s="67" t="str">
        <x:v>ALT158</x:v>
      </x:c>
      <x:c r="B159" s="68" t="str">
        <x:v>Dead bug or Pallof press</x:v>
      </x:c>
      <x:c r="C159" s="68" t="str">
        <x:v>Side plank</x:v>
      </x:c>
      <x:c r="D159" s="68" t="str">
        <x:v>Equipment match</x:v>
      </x:c>
      <x:c r="E159" s="68" t="str">
        <x:v>Equipment-compatible option.</x:v>
      </x:c>
      <x:c r="F159" s="83" t="n">
        <x:v>46222.65625</x:v>
      </x:c>
    </x:row>
    <x:row r="160">
      <x:c r="A160" s="67" t="str">
        <x:v>ALT159</x:v>
      </x:c>
      <x:c r="B160" s="68" t="str">
        <x:v>Ab wheel or cable crunch</x:v>
      </x:c>
      <x:c r="C160" s="68" t="str">
        <x:v>Ab wheel</x:v>
      </x:c>
      <x:c r="D160" s="68" t="str">
        <x:v>Equipment match</x:v>
      </x:c>
      <x:c r="E160" s="68" t="str">
        <x:v>Equipment-compatible option.</x:v>
      </x:c>
      <x:c r="F160" s="83" t="n">
        <x:v>46222.65625</x:v>
      </x:c>
    </x:row>
    <x:row r="161">
      <x:c r="A161" s="67" t="str">
        <x:v>ALT160</x:v>
      </x:c>
      <x:c r="B161" s="68" t="str">
        <x:v>Ab wheel or cable crunch</x:v>
      </x:c>
      <x:c r="C161" s="68" t="str">
        <x:v>Reverse crunch</x:v>
      </x:c>
      <x:c r="D161" s="68" t="str">
        <x:v>Equipment match</x:v>
      </x:c>
      <x:c r="E161" s="68" t="str">
        <x:v>Equipment-compatible option.</x:v>
      </x:c>
      <x:c r="F161" s="83" t="n">
        <x:v>46222.65625</x:v>
      </x:c>
    </x:row>
    <x:row r="162">
      <x:c r="A162" s="77" t="str">
        <x:v>ALT161</x:v>
      </x:c>
      <x:c r="B162" s="78" t="str">
        <x:v>Ab wheel or cable crunch</x:v>
      </x:c>
      <x:c r="C162" s="78" t="str">
        <x:v>Stability-ball crunch</x:v>
      </x:c>
      <x:c r="D162" s="78" t="str">
        <x:v>Equipment match</x:v>
      </x:c>
      <x:c r="E162" s="78" t="str">
        <x:v>Equipment-compatible option.</x:v>
      </x:c>
      <x:c r="F162" s="84" t="n">
        <x:v>46222.65625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6.630000114440918" hidden="0" customWidth="1"/>
    <x:col min="7" max="7" width="4.630000114440918" hidden="0" customWidth="1"/>
    <x:col min="8" max="8" width="24" hidden="0" customWidth="1"/>
    <x:col min="9" max="9" width="10.25" hidden="0" customWidth="1"/>
    <x:col min="17" max="17" width="24" hidden="0" customWidth="1"/>
    <x:col min="18" max="18" width="24" hidden="0" customWidth="1"/>
  </x:cols>
  <x:sheetData>
    <x:row r="1" ht="30" customHeight="1">
      <x:c r="A1" s="22" t="str">
        <x:v>IngredientID</x:v>
      </x:c>
      <x:c r="B1" s="22" t="str">
        <x:v>IngredientName</x:v>
      </x:c>
      <x:c r="C1" s="22" t="str">
        <x:v>ServingDescription</x:v>
      </x:c>
      <x:c r="D1" s="22" t="str">
        <x:v>kcal</x:v>
      </x:c>
      <x:c r="E1" s="22" t="str">
        <x:v>Protein_g</x:v>
      </x:c>
      <x:c r="F1" s="22" t="str">
        <x:v>Carbs_g</x:v>
      </x:c>
      <x:c r="G1" s="22" t="str">
        <x:v>Fat_g</x:v>
      </x:c>
      <x:c r="H1" s="22" t="str">
        <x:v>Notes</x:v>
      </x:c>
      <x:c r="I1" s="22" t="str">
        <x:v>UpdatedAt</x:v>
      </x:c>
    </x:row>
    <x:row r="2">
      <x:c r="A2" s="16" t="str">
        <x:v>ING001</x:v>
      </x:c>
      <x:c r="B2" s="16" t="str">
        <x:v>Chicken breast</x:v>
      </x:c>
      <x:c r="C2" s="16" t="str">
        <x:v>100 g cooked</x:v>
      </x:c>
      <x:c r="D2" s="16" t="n">
        <x:v>165</x:v>
      </x:c>
      <x:c r="E2" s="16" t="n">
        <x:v>31</x:v>
      </x:c>
      <x:c r="F2" s="16" t="n">
        <x:v>0</x:v>
      </x:c>
      <x:c r="G2" s="16" t="n">
        <x:v>3.6</x:v>
      </x:c>
      <x:c r="H2" s="16" t="str">
        <x:v>Example only; replace with your package/cooked-weight values.</x:v>
      </x:c>
      <x:c r="I2" s="16" t="n">
        <x:v>46222.416666666664</x:v>
      </x:c>
    </x:row>
    <x:row r="3">
      <x:c r="A3" s="16" t="str">
        <x:v>ING002</x:v>
      </x:c>
      <x:c r="B3" s="16" t="str">
        <x:v>0% Greek yoghurt</x:v>
      </x:c>
      <x:c r="C3" s="16" t="str">
        <x:v>100 g</x:v>
      </x:c>
      <x:c r="D3" s="16" t="n">
        <x:v>59</x:v>
      </x:c>
      <x:c r="E3" s="16" t="n">
        <x:v>10.3</x:v>
      </x:c>
      <x:c r="F3" s="16" t="n">
        <x:v>3.6</x:v>
      </x:c>
      <x:c r="G3" s="16" t="n">
        <x:v>0.4</x:v>
      </x:c>
      <x:c r="H3" s="16" t="str">
        <x:v>Example only; brands vary.</x:v>
      </x:c>
      <x:c r="I3" s="16" t="n">
        <x:v>46222.416666666664</x:v>
      </x:c>
    </x:row>
    <x:row r="4">
      <x:c r="A4" s="16" t="str">
        <x:v>ING003</x:v>
      </x:c>
      <x:c r="B4" s="16" t="str">
        <x:v>Whey protein</x:v>
      </x:c>
      <x:c r="C4" s="16" t="str">
        <x:v>30 g scoop</x:v>
      </x:c>
      <x:c r="D4" s="16" t="n">
        <x:v>120</x:v>
      </x:c>
      <x:c r="E4" s="16" t="n">
        <x:v>24</x:v>
      </x:c>
      <x:c r="F4" s="16" t="n">
        <x:v>3</x:v>
      </x:c>
      <x:c r="G4" s="16" t="n">
        <x:v>2</x:v>
      </x:c>
      <x:c r="H4" s="16" t="str">
        <x:v>Use the exact label values.</x:v>
      </x:c>
      <x:c r="I4" s="16" t="n">
        <x:v>46222.416666666664</x:v>
      </x:c>
    </x:row>
    <x:row r="5">
      <x:c r="A5" s="16" t="str">
        <x:v>ING004</x:v>
      </x:c>
      <x:c r="B5" s="16" t="str">
        <x:v>Egg whites</x:v>
      </x:c>
      <x:c r="C5" s="16" t="str">
        <x:v>100 g</x:v>
      </x:c>
      <x:c r="D5" s="16" t="n">
        <x:v>52</x:v>
      </x:c>
      <x:c r="E5" s="16" t="n">
        <x:v>10.9</x:v>
      </x:c>
      <x:c r="F5" s="16" t="n">
        <x:v>0.7</x:v>
      </x:c>
      <x:c r="G5" s="16" t="n">
        <x:v>0.2</x:v>
      </x:c>
      <x:c r="H5" s="16" t="str">
        <x:v>Example only.</x:v>
      </x:c>
      <x:c r="I5" s="16" t="n">
        <x:v>46222.416666666664</x:v>
      </x:c>
    </x:row>
    <x:row r="6">
      <x:c r="A6" s="16" t="str">
        <x:v>ING005</x:v>
      </x:c>
      <x:c r="B6" s="16" t="str">
        <x:v>Cooked white rice</x:v>
      </x:c>
      <x:c r="C6" s="16" t="str">
        <x:v>100 g</x:v>
      </x:c>
      <x:c r="D6" s="16" t="n">
        <x:v>130</x:v>
      </x:c>
      <x:c r="E6" s="16" t="n">
        <x:v>2.4</x:v>
      </x:c>
      <x:c r="F6" s="16" t="n">
        <x:v>28.2</x:v>
      </x:c>
      <x:c r="G6" s="16" t="n">
        <x:v>0.3</x:v>
      </x:c>
      <x:c r="H6" s="16" t="str">
        <x:v>Cooked weight; example only.</x:v>
      </x:c>
      <x:c r="I6" s="16" t="n">
        <x:v>46222.416666666664</x:v>
      </x:c>
    </x:row>
    <x:row r="7">
      <x:c r="A7" s="16" t="str">
        <x:v>ING006</x:v>
      </x:c>
      <x:c r="B7" s="16" t="str">
        <x:v>Boiled potato</x:v>
      </x:c>
      <x:c r="C7" s="16" t="str">
        <x:v>100 g</x:v>
      </x:c>
      <x:c r="D7" s="16" t="n">
        <x:v>87</x:v>
      </x:c>
      <x:c r="E7" s="16" t="n">
        <x:v>1.9</x:v>
      </x:c>
      <x:c r="F7" s="16" t="n">
        <x:v>20.1</x:v>
      </x:c>
      <x:c r="G7" s="16" t="n">
        <x:v>0.1</x:v>
      </x:c>
      <x:c r="H7" s="16" t="str">
        <x:v>Example only.</x:v>
      </x:c>
      <x:c r="I7" s="16" t="n">
        <x:v>46222.416666666664</x:v>
      </x:c>
    </x:row>
    <x:row r="8">
      <x:c r="A8" s="16" t="str">
        <x:v>ING007</x:v>
      </x:c>
      <x:c r="B8" s="16" t="str">
        <x:v>Tuna in water, drained</x:v>
      </x:c>
      <x:c r="C8" s="16" t="str">
        <x:v>100 g</x:v>
      </x:c>
      <x:c r="D8" s="16" t="n">
        <x:v>116</x:v>
      </x:c>
      <x:c r="E8" s="16" t="n">
        <x:v>25.5</x:v>
      </x:c>
      <x:c r="F8" s="16" t="n">
        <x:v>0</x:v>
      </x:c>
      <x:c r="G8" s="16" t="n">
        <x:v>0.8</x:v>
      </x:c>
      <x:c r="H8" s="16" t="str">
        <x:v>Check the can label.</x:v>
      </x:c>
      <x:c r="I8" s="16" t="n">
        <x:v>46222.416666666664</x:v>
      </x:c>
    </x:row>
    <x:row r="9">
      <x:c r="A9" s="16" t="str">
        <x:v>ING008</x:v>
      </x:c>
      <x:c r="B9" s="16" t="str">
        <x:v>Low-fat cottage cheese</x:v>
      </x:c>
      <x:c r="C9" s="16" t="str">
        <x:v>100 g</x:v>
      </x:c>
      <x:c r="D9" s="16" t="n">
        <x:v>82</x:v>
      </x:c>
      <x:c r="E9" s="16" t="n">
        <x:v>11.1</x:v>
      </x:c>
      <x:c r="F9" s="16" t="n">
        <x:v>3.4</x:v>
      </x:c>
      <x:c r="G9" s="16" t="n">
        <x:v>2.3</x:v>
      </x:c>
      <x:c r="H9" s="16" t="str">
        <x:v>Brands vary.</x:v>
      </x:c>
      <x:c r="I9" s="16" t="n">
        <x:v>46222.416666666664</x:v>
      </x:c>
    </x:row>
    <x:row r="10">
      <x:c r="A10" s="16" t="str">
        <x:v>ING009</x:v>
      </x:c>
      <x:c r="B10" s="16" t="str">
        <x:v>Lean turkey mince</x:v>
      </x:c>
      <x:c r="C10" s="16" t="str">
        <x:v>100 g</x:v>
      </x:c>
      <x:c r="D10" s="16" t="n">
        <x:v>145</x:v>
      </x:c>
      <x:c r="E10" s="16" t="n">
        <x:v>21</x:v>
      </x:c>
      <x:c r="F10" s="16" t="n">
        <x:v>0</x:v>
      </x:c>
      <x:c r="G10" s="16" t="n">
        <x:v>6</x:v>
      </x:c>
      <x:c r="H10" s="16" t="str">
        <x:v>Use your package values.</x:v>
      </x:c>
      <x:c r="I10" s="16" t="n">
        <x:v>46222.416666666664</x:v>
      </x:c>
    </x:row>
    <x:row r="11">
      <x:c r="A11" s="16" t="str">
        <x:v>ING010</x:v>
      </x:c>
      <x:c r="B11" s="16" t="str">
        <x:v>Courgette</x:v>
      </x:c>
      <x:c r="C11" s="16" t="str">
        <x:v>100 g</x:v>
      </x:c>
      <x:c r="D11" s="16" t="n">
        <x:v>17</x:v>
      </x:c>
      <x:c r="E11" s="16" t="n">
        <x:v>1.2</x:v>
      </x:c>
      <x:c r="F11" s="16" t="n">
        <x:v>3.1</x:v>
      </x:c>
      <x:c r="G11" s="16" t="n">
        <x:v>0.3</x:v>
      </x:c>
      <x:c r="H11" s="16" t="str">
        <x:v>Example only.</x:v>
      </x:c>
      <x:c r="I11" s="16" t="n">
        <x:v>46222.416666666664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7.25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12.5" hidden="0" customWidth="1"/>
    <x:col min="7" max="7" width="11.25" hidden="0" customWidth="1"/>
    <x:col min="8" max="8" width="24" hidden="0" customWidth="1"/>
    <x:col min="9" max="9" width="13.380000114440918" hidden="0" customWidth="1"/>
    <x:col min="10" max="10" width="16" hidden="0" customWidth="1"/>
    <x:col min="11" max="11" width="14.630000114440918" hidden="0" customWidth="1"/>
    <x:col min="12" max="12" width="12.75" hidden="0" customWidth="1"/>
    <x:col min="13" max="13" width="10.25" hidden="0" customWidth="1"/>
    <x:col min="14" max="14" width="7.630000114440918" hidden="0" customWidth="1"/>
    <x:col min="15" max="15" width="13.5" hidden="0" customWidth="1"/>
    <x:col min="16" max="16" width="10.130000114440918" hidden="0" customWidth="1"/>
    <x:col min="17" max="17" width="24" hidden="0" customWidth="1"/>
    <x:col min="18" max="18" width="24" hidden="0" customWidth="1"/>
    <x:col min="19" max="19" width="10.25" hidden="0" customWidth="1"/>
  </x:cols>
  <x:sheetData>
    <x:row r="1" ht="30" customHeight="1">
      <x:c r="A1" s="22" t="str">
        <x:v>RecipeID</x:v>
      </x:c>
      <x:c r="B1" s="22" t="str">
        <x:v>RecipeName</x:v>
      </x:c>
      <x:c r="C1" s="22" t="str">
        <x:v>Category</x:v>
      </x:c>
      <x:c r="D1" s="22" t="str">
        <x:v>Servings</x:v>
      </x:c>
      <x:c r="E1" s="22" t="str">
        <x:v>Total_kcal</x:v>
      </x:c>
      <x:c r="F1" s="22" t="str">
        <x:v>Total_Protein_g</x:v>
      </x:c>
      <x:c r="G1" s="22" t="str">
        <x:v>Total_Carbs_g</x:v>
      </x:c>
      <x:c r="H1" s="22" t="str">
        <x:v>Total_Fat_g</x:v>
      </x:c>
      <x:c r="I1" s="22" t="str">
        <x:v>kcal_per_serving</x:v>
      </x:c>
      <x:c r="J1" s="22" t="str">
        <x:v>Protein_per_serving</x:v>
      </x:c>
      <x:c r="K1" s="22" t="str">
        <x:v>Carbs_per_serving</x:v>
      </x:c>
      <x:c r="L1" s="22" t="str">
        <x:v>Fat_per_serving</x:v>
      </x:c>
      <x:c r="M1" s="22" t="str">
        <x:v>RFL_Friendly</x:v>
      </x:c>
      <x:c r="N1" s="22" t="str">
        <x:v>Favourite</x:v>
      </x:c>
      <x:c r="O1" s="22" t="str">
        <x:v>No_Bell_Peppers</x:v>
      </x:c>
      <x:c r="P1" s="22" t="str">
        <x:v>No_Shellfish</x:v>
      </x:c>
      <x:c r="Q1" s="22" t="str">
        <x:v>Instructions</x:v>
      </x:c>
      <x:c r="R1" s="22" t="str">
        <x:v>Notes</x:v>
      </x:c>
      <x:c r="S1" s="22" t="str">
        <x:v>UpdatedAt</x:v>
      </x:c>
    </x:row>
    <x:row r="2">
      <x:c r="A2" s="16" t="str">
        <x:v>RCP001</x:v>
      </x:c>
      <x:c r="B2" s="16" t="str">
        <x:v>Chicken courgette rice bowl</x:v>
      </x:c>
      <x:c r="C2" s="16" t="str">
        <x:v>Normal cut</x:v>
      </x:c>
      <x:c r="D2" s="46" t="n">
        <x:v>2</x:v>
      </x:c>
      <x:c r="E2" s="46" t="n">
        <x:v>780</x:v>
      </x:c>
      <x:c r="F2" s="46" t="n">
        <x:v>92</x:v>
      </x:c>
      <x:c r="G2" s="46" t="n">
        <x:v>72</x:v>
      </x:c>
      <x:c r="H2" s="46" t="n">
        <x:v>14</x:v>
      </x:c>
      <x:c r="I2" s="46" t="n">
        <x:f>IFERROR(E2/D2,"")</x:f>
        <x:v>390</x:v>
      </x:c>
      <x:c r="J2" s="46" t="n">
        <x:f>IFERROR(F2/D2,"")</x:f>
        <x:v>46</x:v>
      </x:c>
      <x:c r="K2" s="46" t="n">
        <x:f>IFERROR(G2/D2,"")</x:f>
        <x:v>36</x:v>
      </x:c>
      <x:c r="L2" s="46" t="n">
        <x:f>IFERROR(H2/D2,"")</x:f>
        <x:v>7</x:v>
      </x:c>
      <x:c r="M2" s="16" t="str">
        <x:v>No</x:v>
      </x:c>
      <x:c r="N2" s="42" t="b">
        <x:v>0</x:v>
      </x:c>
      <x:c r="O2" s="16" t="str">
        <x:v>Yes</x:v>
      </x:c>
      <x:c r="P2" s="16" t="str">
        <x:v>Yes</x:v>
      </x:c>
      <x:c r="Q2" s="16" t="str"/>
      <x:c r="R2" s="16" t="str">
        <x:v>Example values only. No bell peppers; adjust to your ingredients.</x:v>
      </x:c>
      <x:c r="S2" s="16" t="n">
        <x:v>46222.416666666664</x:v>
      </x:c>
    </x:row>
    <x:row r="3">
      <x:c r="A3" s="16" t="str">
        <x:v>RCP002</x:v>
      </x:c>
      <x:c r="B3" s="16" t="str">
        <x:v>Greek yoghurt whey bowl</x:v>
      </x:c>
      <x:c r="C3" s="16" t="str">
        <x:v>High protein</x:v>
      </x:c>
      <x:c r="D3" s="46" t="n">
        <x:v>1</x:v>
      </x:c>
      <x:c r="E3" s="46" t="n">
        <x:v>410</x:v>
      </x:c>
      <x:c r="F3" s="46" t="n">
        <x:v>55</x:v>
      </x:c>
      <x:c r="G3" s="46" t="n">
        <x:v>32</x:v>
      </x:c>
      <x:c r="H3" s="46" t="n">
        <x:v>6</x:v>
      </x:c>
      <x:c r="I3" s="46" t="n">
        <x:f>IFERROR(E3/D3,"")</x:f>
        <x:v>410</x:v>
      </x:c>
      <x:c r="J3" s="46" t="n">
        <x:f>IFERROR(F3/D3,"")</x:f>
        <x:v>55</x:v>
      </x:c>
      <x:c r="K3" s="46" t="n">
        <x:f>IFERROR(G3/D3,"")</x:f>
        <x:v>32</x:v>
      </x:c>
      <x:c r="L3" s="46" t="n">
        <x:f>IFERROR(H3/D3,"")</x:f>
        <x:v>6</x:v>
      </x:c>
      <x:c r="M3" s="16" t="str">
        <x:v>Yes</x:v>
      </x:c>
      <x:c r="N3" s="42" t="b">
        <x:v>1</x:v>
      </x:c>
      <x:c r="O3" s="16" t="str">
        <x:v>Yes</x:v>
      </x:c>
      <x:c r="P3" s="16" t="str">
        <x:v>Yes</x:v>
      </x:c>
      <x:c r="Q3" s="16" t="str"/>
      <x:c r="R3" s="16" t="str">
        <x:v>Good quick protein option; use exact label values.</x:v>
      </x:c>
      <x:c r="S3" s="16" t="n">
        <x:v>46222.416666666664</x:v>
      </x:c>
    </x:row>
    <x:row r="4">
      <x:c r="A4" s="16" t="str">
        <x:v>RCP003</x:v>
      </x:c>
      <x:c r="B4" s="16" t="str">
        <x:v>Egg-white spinach omelette</x:v>
      </x:c>
      <x:c r="C4" s="16" t="str">
        <x:v>RFL-friendly</x:v>
      </x:c>
      <x:c r="D4" s="46" t="n">
        <x:v>1</x:v>
      </x:c>
      <x:c r="E4" s="46" t="n">
        <x:v>260</x:v>
      </x:c>
      <x:c r="F4" s="46" t="n">
        <x:v>42</x:v>
      </x:c>
      <x:c r="G4" s="46" t="n">
        <x:v>8</x:v>
      </x:c>
      <x:c r="H4" s="46" t="n">
        <x:v>6</x:v>
      </x:c>
      <x:c r="I4" s="46" t="n">
        <x:f>IFERROR(E4/D4,"")</x:f>
        <x:v>260</x:v>
      </x:c>
      <x:c r="J4" s="46" t="n">
        <x:f>IFERROR(F4/D4,"")</x:f>
        <x:v>42</x:v>
      </x:c>
      <x:c r="K4" s="46" t="n">
        <x:f>IFERROR(G4/D4,"")</x:f>
        <x:v>8</x:v>
      </x:c>
      <x:c r="L4" s="46" t="n">
        <x:f>IFERROR(H4/D4,"")</x:f>
        <x:v>6</x:v>
      </x:c>
      <x:c r="M4" s="16" t="str">
        <x:v>Yes</x:v>
      </x:c>
      <x:c r="N4" s="42" t="b">
        <x:v>1</x:v>
      </x:c>
      <x:c r="O4" s="16" t="str">
        <x:v>Yes</x:v>
      </x:c>
      <x:c r="P4" s="16" t="str">
        <x:v>Yes</x:v>
      </x:c>
      <x:c r="Q4" s="16" t="str"/>
      <x:c r="R4" s="16" t="str">
        <x:v>Use herbs, spinach, mushrooms; avoid bell peppers.</x:v>
      </x:c>
      <x:c r="S4" s="16" t="n">
        <x:v>46222.416666666664</x:v>
      </x:c>
    </x:row>
    <x:row r="5">
      <x:c r="A5" s="16" t="str">
        <x:v>RCP004</x:v>
      </x:c>
      <x:c r="B5" s="16" t="str">
        <x:v>Lean turkey tomato mince</x:v>
      </x:c>
      <x:c r="C5" s="16" t="str">
        <x:v>Batch cook</x:v>
      </x:c>
      <x:c r="D5" s="46" t="n">
        <x:v>4</x:v>
      </x:c>
      <x:c r="E5" s="46" t="n">
        <x:v>1280</x:v>
      </x:c>
      <x:c r="F5" s="46" t="n">
        <x:v>156</x:v>
      </x:c>
      <x:c r="G5" s="46" t="n">
        <x:v>64</x:v>
      </x:c>
      <x:c r="H5" s="46" t="n">
        <x:v>36</x:v>
      </x:c>
      <x:c r="I5" s="46" t="n">
        <x:f>IFERROR(E5/D5,"")</x:f>
        <x:v>320</x:v>
      </x:c>
      <x:c r="J5" s="46" t="n">
        <x:f>IFERROR(F5/D5,"")</x:f>
        <x:v>39</x:v>
      </x:c>
      <x:c r="K5" s="46" t="n">
        <x:f>IFERROR(G5/D5,"")</x:f>
        <x:v>16</x:v>
      </x:c>
      <x:c r="L5" s="46" t="n">
        <x:f>IFERROR(H5/D5,"")</x:f>
        <x:v>9</x:v>
      </x:c>
      <x:c r="M5" s="16" t="str">
        <x:v>Maybe</x:v>
      </x:c>
      <x:c r="N5" s="42" t="b">
        <x:v>0</x:v>
      </x:c>
      <x:c r="O5" s="16" t="str">
        <x:v>Yes</x:v>
      </x:c>
      <x:c r="P5" s="16" t="str">
        <x:v>Yes</x:v>
      </x:c>
      <x:c r="Q5" s="16" t="str"/>
      <x:c r="R5" s="16" t="str">
        <x:v>Serve with rice/potatoes outside RFL or vegetables during RFL.</x:v>
      </x:c>
      <x:c r="S5" s="16" t="n">
        <x:v>46222.416666666664</x:v>
      </x:c>
    </x:row>
    <x:row r="6">
      <x:c r="A6" s="16" t="str">
        <x:v>RCP005</x:v>
      </x:c>
      <x:c r="B6" s="16" t="str">
        <x:v>Tuna potato salad</x:v>
      </x:c>
      <x:c r="C6" s="16" t="str">
        <x:v>Normal cut</x:v>
      </x:c>
      <x:c r="D6" s="46" t="n">
        <x:v>2</x:v>
      </x:c>
      <x:c r="E6" s="46" t="n">
        <x:v>650</x:v>
      </x:c>
      <x:c r="F6" s="46" t="n">
        <x:v>62</x:v>
      </x:c>
      <x:c r="G6" s="46" t="n">
        <x:v>82</x:v>
      </x:c>
      <x:c r="H6" s="46" t="n">
        <x:v>8</x:v>
      </x:c>
      <x:c r="I6" s="46" t="n">
        <x:f>IFERROR(E6/D6,"")</x:f>
        <x:v>325</x:v>
      </x:c>
      <x:c r="J6" s="46" t="n">
        <x:f>IFERROR(F6/D6,"")</x:f>
        <x:v>31</x:v>
      </x:c>
      <x:c r="K6" s="46" t="n">
        <x:f>IFERROR(G6/D6,"")</x:f>
        <x:v>41</x:v>
      </x:c>
      <x:c r="L6" s="46" t="n">
        <x:f>IFERROR(H6/D6,"")</x:f>
        <x:v>4</x:v>
      </x:c>
      <x:c r="M6" s="16" t="str">
        <x:v>No</x:v>
      </x:c>
      <x:c r="N6" s="42" t="b">
        <x:v>0</x:v>
      </x:c>
      <x:c r="O6" s="16" t="str">
        <x:v>Yes</x:v>
      </x:c>
      <x:c r="P6" s="16" t="str">
        <x:v>Yes</x:v>
      </x:c>
      <x:c r="Q6" s="16" t="str"/>
      <x:c r="R6" s="16" t="str">
        <x:v>Tuna is not shellfish; avoid mayo-heavy versions.</x:v>
      </x:c>
      <x:c r="S6" s="16" t="n">
        <x:v>46222.416666666664</x:v>
      </x:c>
    </x:row>
    <x:row r="7">
      <x:c r="A7" s="16" t="str">
        <x:v>RCP006</x:v>
      </x:c>
      <x:c r="B7" s="16" t="str">
        <x:v>Cottage cheese chicken salad</x:v>
      </x:c>
      <x:c r="C7" s="16" t="str">
        <x:v>RFL-friendly</x:v>
      </x:c>
      <x:c r="D7" s="46" t="n">
        <x:v>1</x:v>
      </x:c>
      <x:c r="E7" s="46" t="n">
        <x:v>360</x:v>
      </x:c>
      <x:c r="F7" s="46" t="n">
        <x:v>60</x:v>
      </x:c>
      <x:c r="G7" s="46" t="n">
        <x:v>14</x:v>
      </x:c>
      <x:c r="H7" s="46" t="n">
        <x:v>7</x:v>
      </x:c>
      <x:c r="I7" s="46" t="n">
        <x:f>IFERROR(E7/D7,"")</x:f>
        <x:v>360</x:v>
      </x:c>
      <x:c r="J7" s="46" t="n">
        <x:f>IFERROR(F7/D7,"")</x:f>
        <x:v>60</x:v>
      </x:c>
      <x:c r="K7" s="46" t="n">
        <x:f>IFERROR(G7/D7,"")</x:f>
        <x:v>14</x:v>
      </x:c>
      <x:c r="L7" s="46" t="n">
        <x:f>IFERROR(H7/D7,"")</x:f>
        <x:v>7</x:v>
      </x:c>
      <x:c r="M7" s="16" t="str">
        <x:v>Yes</x:v>
      </x:c>
      <x:c r="N7" s="42" t="b">
        <x:v>1</x:v>
      </x:c>
      <x:c r="O7" s="16" t="str">
        <x:v>Yes</x:v>
      </x:c>
      <x:c r="P7" s="16" t="str">
        <x:v>Yes</x:v>
      </x:c>
      <x:c r="Q7" s="16" t="str"/>
      <x:c r="R7" s="16" t="str">
        <x:v>Use cucumber, lettuce, tomato; no bell peppers.</x:v>
      </x:c>
      <x:c r="S7" s="16" t="n">
        <x:v>46222.416666666664</x:v>
      </x:c>
    </x:row>
  </x:sheetData>
  <x:conditionalFormatting sqref="M2:M1000">
    <x:cfRule type="expression" dxfId="0" priority="1">
      <x:formula>M2="Yes"</x:formula>
    </x:cfRule>
  </x:conditionalFormatting>
  <x:dataValidations count="1">
    <x:dataValidation type="list" sqref="M2:M1000">
      <x:formula1>"Yes,Maybe,No"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3.380000114440918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3.880000114440918" hidden="0" customWidth="1"/>
    <x:col min="7" max="7" width="3.5" hidden="0" customWidth="1"/>
    <x:col min="8" max="8" width="24" hidden="0" customWidth="1"/>
    <x:col min="9" max="9" width="6.630000114440918" hidden="0" customWidth="1"/>
    <x:col min="10" max="10" width="4.630000114440918" hidden="0" customWidth="1"/>
    <x:col min="11" max="11" width="5" hidden="0" customWidth="1"/>
    <x:col min="12" max="12" width="8.880000114440918" hidden="0" customWidth="1"/>
    <x:col min="17" max="17" width="24" hidden="0" customWidth="1"/>
    <x:col min="18" max="18" width="24" hidden="0" customWidth="1"/>
  </x:cols>
  <x:sheetData>
    <x:row r="1" ht="30" customHeight="1">
      <x:c r="A1" s="22" t="str">
        <x:v>IngredientRowID</x:v>
      </x:c>
      <x:c r="B1" s="22" t="str">
        <x:v>RecipeID</x:v>
      </x:c>
      <x:c r="C1" s="22" t="str">
        <x:v>IngredientID</x:v>
      </x:c>
      <x:c r="D1" s="22" t="str">
        <x:v>IngredientName</x:v>
      </x:c>
      <x:c r="E1" s="22" t="str">
        <x:v>Amount</x:v>
      </x:c>
      <x:c r="F1" s="22" t="str">
        <x:v>Unit</x:v>
      </x:c>
      <x:c r="G1" s="22" t="str">
        <x:v>kcal</x:v>
      </x:c>
      <x:c r="H1" s="22" t="str">
        <x:v>Protein_g</x:v>
      </x:c>
      <x:c r="I1" s="22" t="str">
        <x:v>Carbs_g</x:v>
      </x:c>
      <x:c r="J1" s="22" t="str">
        <x:v>Fat_g</x:v>
      </x:c>
      <x:c r="K1" s="22" t="str">
        <x:v>Notes</x:v>
      </x:c>
      <x:c r="L1" s="22" t="str">
        <x:v>UpdatedAt</x:v>
      </x:c>
    </x:row>
    <x:row r="2">
      <x:c r="A2" s="16"/>
      <x:c r="B2" s="16"/>
      <x:c r="C2" s="16"/>
      <x:c r="D2" s="16"/>
      <x:c r="E2" s="16"/>
      <x:c r="F2" s="16"/>
      <x:c r="G2" s="16"/>
      <x:c r="H2" s="16"/>
      <x:c r="I2" s="16"/>
      <x:c r="J2" s="16"/>
      <x:c r="K2" s="16"/>
      <x:c r="L2" s="16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24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24" hidden="0" customWidth="1"/>
    <x:col min="12" max="12" width="24" hidden="0" customWidth="1"/>
    <x:col min="13" max="13" width="15" hidden="0" customWidth="1"/>
  </x:cols>
  <x:sheetData>
    <x:row r="1" ht="30" customHeight="1">
      <x:c r="A1" s="22" t="str">
        <x:v>SessionLogID</x:v>
      </x:c>
      <x:c r="B1" s="48" t="str">
        <x:v>Date</x:v>
      </x:c>
      <x:c r="C1" s="22" t="str">
        <x:v>ProgramID</x:v>
      </x:c>
      <x:c r="D1" s="22" t="str">
        <x:v>ProgramName</x:v>
      </x:c>
      <x:c r="E1" s="22" t="str">
        <x:v>SessionID</x:v>
      </x:c>
      <x:c r="F1" s="22" t="str">
        <x:v>SessionName</x:v>
      </x:c>
      <x:c r="G1" s="22" t="str">
        <x:v>StartTime</x:v>
      </x:c>
      <x:c r="H1" s="22" t="str">
        <x:v>EndTime</x:v>
      </x:c>
      <x:c r="I1" s="22" t="str">
        <x:v>DurationMin</x:v>
      </x:c>
      <x:c r="J1" s="22" t="str">
        <x:v>BodyWeightKg</x:v>
      </x:c>
      <x:c r="K1" s="22" t="str">
        <x:v>Notes</x:v>
      </x:c>
      <x:c r="L1" s="22" t="str">
        <x:v>Completed</x:v>
      </x:c>
      <x:c r="M1" s="22" t="str">
        <x:v>UpdatedAt</x:v>
      </x:c>
    </x:row>
    <x:row r="2">
      <x:c r="A2" s="16"/>
      <x:c r="B2" s="16"/>
      <x:c r="C2" s="16"/>
      <x:c r="D2" s="16"/>
      <x:c r="E2" s="16"/>
      <x:c r="F2" s="16"/>
      <x:c r="G2" s="16"/>
      <x:c r="H2" s="16"/>
      <x:c r="I2" s="16"/>
      <x:c r="J2" s="16"/>
      <x:c r="K2" s="16"/>
      <x:c r="L2" s="16"/>
      <x:c r="M2" s="16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24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24" hidden="0" customWidth="1"/>
    <x:col min="12" max="12" width="24" hidden="0" customWidth="1"/>
    <x:col min="13" max="13" width="15" hidden="0" customWidth="1"/>
    <x:col min="14" max="14" width="15" hidden="0" customWidth="1"/>
    <x:col min="15" max="15" width="15" hidden="0" customWidth="1"/>
    <x:col min="16" max="16" width="24" hidden="0" customWidth="1"/>
    <x:col min="17" max="17" width="15" hidden="0" customWidth="1"/>
  </x:cols>
  <x:sheetData>
    <x:row r="1" ht="30" customHeight="1">
      <x:c r="A1" s="22" t="str">
        <x:v>SetLogID</x:v>
      </x:c>
      <x:c r="B1" s="22" t="str">
        <x:v>SessionLogID</x:v>
      </x:c>
      <x:c r="C1" s="48" t="str">
        <x:v>Date</x:v>
      </x:c>
      <x:c r="D1" s="22" t="str">
        <x:v>ProgramID</x:v>
      </x:c>
      <x:c r="E1" s="22" t="str">
        <x:v>SessionName</x:v>
      </x:c>
      <x:c r="F1" s="22" t="str">
        <x:v>ExerciseID</x:v>
      </x:c>
      <x:c r="G1" s="22" t="str">
        <x:v>Exercise</x:v>
      </x:c>
      <x:c r="H1" s="22" t="str">
        <x:v>SetNo</x:v>
      </x:c>
      <x:c r="I1" s="22" t="str">
        <x:v>Warmup</x:v>
      </x:c>
      <x:c r="J1" s="22" t="str">
        <x:v>WeightKg</x:v>
      </x:c>
      <x:c r="K1" s="22" t="str">
        <x:v>Reps</x:v>
      </x:c>
      <x:c r="L1" s="22" t="str">
        <x:v>RIR</x:v>
      </x:c>
      <x:c r="M1" s="22" t="str">
        <x:v>RestSec</x:v>
      </x:c>
      <x:c r="N1" s="22" t="str">
        <x:v>VolumeKg</x:v>
      </x:c>
      <x:c r="O1" s="22" t="str">
        <x:v>Estimated1RM</x:v>
      </x:c>
      <x:c r="P1" s="22" t="str">
        <x:v>Notes</x:v>
      </x:c>
      <x:c r="Q1" s="22" t="str">
        <x:v>UpdatedAt</x:v>
      </x:c>
    </x:row>
    <x:row r="2">
      <x:c r="A2" s="16"/>
      <x:c r="B2" s="16"/>
      <x:c r="C2" s="16"/>
      <x:c r="D2" s="16"/>
      <x:c r="E2" s="16"/>
      <x:c r="F2" s="16"/>
      <x:c r="G2" s="16"/>
      <x:c r="H2" s="16"/>
      <x:c r="I2" s="16"/>
      <x:c r="J2" s="16"/>
      <x:c r="K2" s="16"/>
      <x:c r="L2" s="16"/>
      <x:c r="M2" s="16"/>
      <x:c r="N2" s="16"/>
      <x:c r="O2" s="16"/>
      <x:c r="P2" s="16"/>
      <x:c r="Q2" s="16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24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24" hidden="0" customWidth="1"/>
    <x:col min="12" max="12" width="24" hidden="0" customWidth="1"/>
    <x:col min="13" max="13" width="15" hidden="0" customWidth="1"/>
  </x:cols>
  <x:sheetData>
    <x:row r="1" ht="30" customHeight="1">
      <x:c r="A1" s="22" t="str">
        <x:v>FoodLogID</x:v>
      </x:c>
      <x:c r="B1" s="48" t="str">
        <x:v>Date</x:v>
      </x:c>
      <x:c r="C1" s="22" t="str">
        <x:v>Meal</x:v>
      </x:c>
      <x:c r="D1" s="22" t="str">
        <x:v>RecipeID</x:v>
      </x:c>
      <x:c r="E1" s="22" t="str">
        <x:v>RecipeName</x:v>
      </x:c>
      <x:c r="F1" s="22" t="str">
        <x:v>ItemName</x:v>
      </x:c>
      <x:c r="G1" s="22" t="str">
        <x:v>Servings</x:v>
      </x:c>
      <x:c r="H1" s="22" t="str">
        <x:v>kcal</x:v>
      </x:c>
      <x:c r="I1" s="22" t="str">
        <x:v>Protein_g</x:v>
      </x:c>
      <x:c r="J1" s="22" t="str">
        <x:v>Carbs_g</x:v>
      </x:c>
      <x:c r="K1" s="22" t="str">
        <x:v>Fat_g</x:v>
      </x:c>
      <x:c r="L1" s="22" t="str">
        <x:v>Notes</x:v>
      </x:c>
      <x:c r="M1" s="22" t="str">
        <x:v>UpdatedAt</x:v>
      </x:c>
    </x:row>
    <x:row r="2">
      <x:c r="A2" s="16"/>
      <x:c r="B2" s="16"/>
      <x:c r="C2" s="16"/>
      <x:c r="D2" s="16"/>
      <x:c r="E2" s="16"/>
      <x:c r="F2" s="16"/>
      <x:c r="G2" s="16"/>
      <x:c r="H2" s="16"/>
      <x:c r="I2" s="16"/>
      <x:c r="J2" s="16"/>
      <x:c r="K2" s="16"/>
      <x:c r="L2" s="16"/>
      <x:c r="M2" s="16"/>
    </x:row>
  </x:sheetData>
  <x:dataValidations count="1">
    <x:dataValidation type="list" sqref="C2:C5000">
      <x:formula1>"Breakfast,Lunch,Dinner,Snack,Post-workout"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24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24" hidden="0" customWidth="1"/>
    <x:col min="12" max="12" width="24" hidden="0" customWidth="1"/>
  </x:cols>
  <x:sheetData>
    <x:row r="1" ht="30" customHeight="1">
      <x:c r="A1" s="22" t="str">
        <x:v>MetricID</x:v>
      </x:c>
      <x:c r="B1" s="48" t="str">
        <x:v>Date</x:v>
      </x:c>
      <x:c r="C1" s="22" t="str">
        <x:v>WeightKg</x:v>
      </x:c>
      <x:c r="D1" s="22" t="str">
        <x:v>WaistCm</x:v>
      </x:c>
      <x:c r="E1" s="22" t="str">
        <x:v>ChestCm</x:v>
      </x:c>
      <x:c r="F1" s="22" t="str">
        <x:v>HipsCm</x:v>
      </x:c>
      <x:c r="G1" s="22" t="str">
        <x:v>ArmCm</x:v>
      </x:c>
      <x:c r="H1" s="22" t="str">
        <x:v>ThighCm</x:v>
      </x:c>
      <x:c r="I1" s="22" t="str">
        <x:v>BodyFatPct</x:v>
      </x:c>
      <x:c r="J1" s="22" t="str">
        <x:v>RestingHR</x:v>
      </x:c>
      <x:c r="K1" s="22" t="str">
        <x:v>Notes</x:v>
      </x:c>
      <x:c r="L1" s="22" t="str">
        <x:v>UpdatedAt</x:v>
      </x:c>
    </x:row>
    <x:row r="2">
      <x:c r="A2" s="16"/>
      <x:c r="B2" s="16"/>
      <x:c r="C2" s="16"/>
      <x:c r="D2" s="16"/>
      <x:c r="E2" s="16"/>
      <x:c r="F2" s="16"/>
      <x:c r="G2" s="16"/>
      <x:c r="H2" s="16"/>
      <x:c r="I2" s="16"/>
      <x:c r="J2" s="16"/>
      <x:c r="K2" s="16"/>
      <x:c r="L2" s="16"/>
    </x:row>
  </x:sheetData>
  <x:conditionalFormatting sqref="C2:C2000">
    <x:cfRule type="dataBar" priority="1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{BC1C5CBD-AA39-840E-2552-093B341FAFAB}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BC1C5CBD-AA39-840E-2552-093B341FAFAB}">
            <x14:dataBar gradient="1">
              <x14:cfvo type="min"/>
              <x14:cfvo type="max"/>
              <x14:fillColor rgb="FFA02B93"/>
            </x14:dataBar>
          </x14:cfRule>
          <xm:sqref>C2:C2000</xm:sqref>
        </x14:conditionalFormatting>
      </x14:conditionalFormattings>
    </x:ext>
  </x:extLst>
</x:worksheet>
</file>

<file path=xl/worksheets/sheet14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24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24" hidden="0" customWidth="1"/>
    <x:col min="12" max="12" width="24" hidden="0" customWidth="1"/>
  </x:cols>
  <x:sheetData>
    <x:row r="1" ht="30" customHeight="1">
      <x:c r="A1" s="22" t="str">
        <x:v>CheckinID</x:v>
      </x:c>
      <x:c r="B1" s="48" t="str">
        <x:v>Date</x:v>
      </x:c>
      <x:c r="C1" s="22" t="str">
        <x:v>Steps</x:v>
      </x:c>
      <x:c r="D1" s="22" t="str">
        <x:v>SleepHrs</x:v>
      </x:c>
      <x:c r="E1" s="22" t="str">
        <x:v>WaterMl</x:v>
      </x:c>
      <x:c r="F1" s="22" t="str">
        <x:v>Hunger1to5</x:v>
      </x:c>
      <x:c r="G1" s="22" t="str">
        <x:v>Energy1to5</x:v>
      </x:c>
      <x:c r="H1" s="22" t="str">
        <x:v>Stress1to5</x:v>
      </x:c>
      <x:c r="I1" s="22" t="str">
        <x:v>DietAdherencePct</x:v>
      </x:c>
      <x:c r="J1" s="22" t="str">
        <x:v>TrainingReadiness1to5</x:v>
      </x:c>
      <x:c r="K1" s="22" t="str">
        <x:v>Notes</x:v>
      </x:c>
      <x:c r="L1" s="22" t="str">
        <x:v>UpdatedAt</x:v>
      </x:c>
    </x:row>
    <x:row r="2">
      <x:c r="A2" s="16"/>
      <x:c r="B2" s="16"/>
      <x:c r="C2" s="16"/>
      <x:c r="D2" s="16"/>
      <x:c r="E2" s="16"/>
      <x:c r="F2" s="16"/>
      <x:c r="G2" s="16"/>
      <x:c r="H2" s="16"/>
      <x:c r="I2" s="16"/>
      <x:c r="J2" s="16"/>
      <x:c r="K2" s="16"/>
      <x:c r="L2" s="16"/>
    </x:row>
  </x:sheetData>
  <x:conditionalFormatting sqref="I2:I1000">
    <x:cfRule type="colorScale" priority="1">
      <x:colorScale>
        <x:cfvo type="min"/>
        <x:cfvo type="percentile" val="50"/>
        <x:cfvo type="max"/>
        <x:color rgb="FFFECACA"/>
        <x:color rgb="FFFEF3C7"/>
        <x:color rgb="FFDCFCE7"/>
      </x:colorScale>
    </x:cfRule>
  </x:conditionalFormatting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24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24" hidden="0" customWidth="1"/>
    <x:col min="12" max="12" width="24" hidden="0" customWidth="1"/>
    <x:col min="13" max="13" width="15" hidden="0" customWidth="1"/>
  </x:cols>
  <x:sheetData>
    <x:row r="1" ht="30" customHeight="1">
      <x:c r="A1" s="22" t="str">
        <x:v>PhaseID</x:v>
      </x:c>
      <x:c r="B1" s="22" t="str">
        <x:v>Name</x:v>
      </x:c>
      <x:c r="C1" s="22" t="str">
        <x:v>Mode</x:v>
      </x:c>
      <x:c r="D1" s="48" t="str">
        <x:v>StartDate</x:v>
      </x:c>
      <x:c r="E1" s="48" t="str">
        <x:v>PlannedEndDate</x:v>
      </x:c>
      <x:c r="F1" s="48" t="str">
        <x:v>ActualEndDate</x:v>
      </x:c>
      <x:c r="G1" s="22" t="str">
        <x:v>StartWeightKg</x:v>
      </x:c>
      <x:c r="H1" s="22" t="str">
        <x:v>EndWeightKg</x:v>
      </x:c>
      <x:c r="I1" s="22" t="str">
        <x:v>TargetLossKg</x:v>
      </x:c>
      <x:c r="J1" s="22" t="str">
        <x:v>Status</x:v>
      </x:c>
      <x:c r="K1" s="22" t="str">
        <x:v>RefeedPlan</x:v>
      </x:c>
      <x:c r="L1" s="22" t="str">
        <x:v>Notes</x:v>
      </x:c>
      <x:c r="M1" s="22" t="str">
        <x:v>UpdatedAt</x:v>
      </x:c>
    </x:row>
    <x:row r="2">
      <x:c r="A2" s="16"/>
      <x:c r="B2" s="16"/>
      <x:c r="C2" s="16"/>
      <x:c r="D2" s="16"/>
      <x:c r="E2" s="16"/>
      <x:c r="F2" s="16"/>
      <x:c r="G2" s="16"/>
      <x:c r="H2" s="16"/>
      <x:c r="I2" s="16"/>
      <x:c r="J2" s="16"/>
      <x:c r="K2" s="16"/>
      <x:c r="L2" s="16"/>
      <x:c r="M2" s="16"/>
    </x:row>
  </x:sheetData>
  <x:dataValidations count="1">
    <x:dataValidation type="list" sqref="J2:J1000">
      <x:formula1>"Active,Completed,Planned"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24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</x:cols>
  <x:sheetData>
    <x:row r="1" ht="30" customHeight="1">
      <x:c r="A1" s="22" t="str">
        <x:v>CardioID</x:v>
      </x:c>
      <x:c r="B1" s="48" t="str">
        <x:v>Date</x:v>
      </x:c>
      <x:c r="C1" s="22" t="str">
        <x:v>Type</x:v>
      </x:c>
      <x:c r="D1" s="22" t="str">
        <x:v>DurationMin</x:v>
      </x:c>
      <x:c r="E1" s="22" t="str">
        <x:v>DistanceKm</x:v>
      </x:c>
      <x:c r="F1" s="22" t="str">
        <x:v>AvgHR</x:v>
      </x:c>
      <x:c r="G1" s="22" t="str">
        <x:v>Intensity</x:v>
      </x:c>
      <x:c r="H1" s="22" t="str">
        <x:v>Steps</x:v>
      </x:c>
      <x:c r="I1" s="22" t="str">
        <x:v>Notes</x:v>
      </x:c>
      <x:c r="J1" s="22" t="str">
        <x:v>UpdatedAt</x:v>
      </x:c>
    </x:row>
    <x:row r="2">
      <x:c r="A2" s="16"/>
      <x:c r="B2" s="16"/>
      <x:c r="C2" s="16"/>
      <x:c r="D2" s="16"/>
      <x:c r="E2" s="16"/>
      <x:c r="F2" s="16"/>
      <x:c r="G2" s="16"/>
      <x:c r="H2" s="16"/>
      <x:c r="I2" s="16"/>
      <x:c r="J2" s="16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6.75" hidden="0" customWidth="1"/>
    <x:col min="2" max="2" width="4.130000114440918" hidden="0" customWidth="1"/>
    <x:col min="3" max="3" width="4.25" hidden="0" customWidth="1"/>
    <x:col min="4" max="4" width="8" hidden="0" customWidth="1"/>
    <x:col min="5" max="5" width="8.880000114440918" hidden="0" customWidth="1"/>
  </x:cols>
  <x:sheetData>
    <x:row r="1" ht="30" customHeight="1">
      <x:c r="A1" s="22" t="str">
        <x:v>PhotoID</x:v>
      </x:c>
      <x:c r="B1" s="48" t="str">
        <x:v>Date</x:v>
      </x:c>
      <x:c r="C1" s="22" t="str">
        <x:v>Note</x:v>
      </x:c>
      <x:c r="D1" s="22" t="str">
        <x:v>LocalOnly</x:v>
      </x:c>
      <x:c r="E1" s="22" t="str">
        <x:v>UpdatedAt</x:v>
      </x:c>
    </x:row>
    <x:row r="2">
      <x:c r="A2" s="16"/>
      <x:c r="B2" s="16"/>
      <x:c r="C2" s="16"/>
      <x:c r="D2" s="16"/>
      <x:c r="E2" s="16"/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4" hidden="0" customWidth="1"/>
    <x:col min="3" max="3" width="56" hidden="0" customWidth="1"/>
  </x:cols>
  <x:sheetData>
    <x:row r="1" ht="30" customHeight="1">
      <x:c r="A1" s="63" t="str">
        <x:v>Field</x:v>
      </x:c>
      <x:c r="B1" s="63" t="str">
        <x:v>Value</x:v>
      </x:c>
      <x:c r="C1" s="63" t="str">
        <x:v>Notes</x:v>
      </x:c>
    </x:row>
    <x:row r="2">
      <x:c r="A2" s="64" t="str">
        <x:v>AppVersion</x:v>
      </x:c>
      <x:c r="B2" s="65" t="str">
        <x:v>2.2.0</x:v>
      </x:c>
      <x:c r="C2" s="66" t="str">
        <x:v>Backend/app version</x:v>
      </x:c>
    </x:row>
    <x:row r="3">
      <x:c r="A3" s="67" t="str">
        <x:v>SchemaVersion</x:v>
      </x:c>
      <x:c r="B3" s="68" t="n">
        <x:v>3</x:v>
      </x:c>
      <x:c r="C3" s="69" t="str">
        <x:v>Database schema</x:v>
      </x:c>
    </x:row>
    <x:row r="4">
      <x:c r="A4" s="67" t="str">
        <x:v>SpreadsheetID</x:v>
      </x:c>
      <x:c r="B4" s="68"/>
      <x:c r="C4" s="69" t="str">
        <x:v>Filled by Apps Script setup</x:v>
      </x:c>
    </x:row>
    <x:row r="5">
      <x:c r="A5" s="67" t="str">
        <x:v>PrivateSyncKey</x:v>
      </x:c>
      <x:c r="B5" s="68"/>
      <x:c r="C5" s="69" t="str">
        <x:v>Generated by Apps Script setup; keep private</x:v>
      </x:c>
    </x:row>
    <x:row r="6">
      <x:c r="A6" s="67" t="str">
        <x:v>WebAppURL</x:v>
      </x:c>
      <x:c r="B6" s="68"/>
      <x:c r="C6" s="69" t="str">
        <x:v>Paste the deployed /exec URL here for reference</x:v>
      </x:c>
    </x:row>
    <x:row r="7">
      <x:c r="A7" s="67" t="str">
        <x:v>CloudRevision</x:v>
      </x:c>
      <x:c r="B7" s="68" t="n">
        <x:v>0</x:v>
      </x:c>
      <x:c r="C7" s="69" t="str">
        <x:v>Server-assigned revision</x:v>
      </x:c>
    </x:row>
    <x:row r="8">
      <x:c r="A8" s="67" t="str">
        <x:v>LastPushAt</x:v>
      </x:c>
      <x:c r="B8" s="68"/>
      <x:c r="C8" s="69" t="str">
        <x:v>Most recent successful phone push</x:v>
      </x:c>
    </x:row>
    <x:row r="9">
      <x:c r="A9" s="67" t="str">
        <x:v>LastRequestID</x:v>
      </x:c>
      <x:c r="B9" s="68"/>
      <x:c r="C9" s="69" t="str">
        <x:v>Most recent POST request</x:v>
      </x:c>
    </x:row>
    <x:row r="10">
      <x:c r="A10" s="67" t="str">
        <x:v>LastStatus</x:v>
      </x:c>
      <x:c r="B10" s="68"/>
      <x:c r="C10" s="69" t="str">
        <x:v>Most recent POST result</x:v>
      </x:c>
    </x:row>
    <x:row r="11">
      <x:c r="A11" s="77" t="str">
        <x:v>LastError</x:v>
      </x:c>
      <x:c r="B11" s="78"/>
      <x:c r="C11" s="79" t="str">
        <x:v>Most recent POST error</x:v>
      </x:c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90" hidden="0" customWidth="1"/>
    <x:col min="3" max="3" width="10" hidden="0" customWidth="1"/>
    <x:col min="4" max="4" width="20" hidden="0" customWidth="1"/>
    <x:col min="5" max="5" width="20" hidden="0" customWidth="1"/>
    <x:col min="6" max="6" width="20" hidden="0" customWidth="1"/>
    <x:col min="7" max="7" width="28" hidden="0" customWidth="1"/>
  </x:cols>
  <x:sheetData>
    <x:row r="1" ht="30" customHeight="1">
      <x:c r="A1" s="63" t="str">
        <x:v>ChunkNo</x:v>
      </x:c>
      <x:c r="B1" s="63" t="str">
        <x:v>StateChunk</x:v>
      </x:c>
      <x:c r="C1" s="63" t="str">
        <x:v>Revision</x:v>
      </x:c>
      <x:c r="D1" s="63" t="str">
        <x:v>UpdatedAt</x:v>
      </x:c>
      <x:c r="E1" s="63" t="str">
        <x:v>LastRequestID</x:v>
      </x:c>
      <x:c r="F1" s="63" t="str">
        <x:v>LastStatus</x:v>
      </x:c>
      <x:c r="G1" s="63" t="str">
        <x:v>LastError</x:v>
      </x:c>
    </x:row>
    <x:row r="2">
      <x:c r="A2" s="64" t="n">
        <x:v>1</x:v>
      </x:c>
      <x:c r="B2" s="65" t="str">
        <x:v>{"version":2,"schemaVersion":3,"createdFor":"","meta":{"appVersion":"2.2.0","revision":0,"lastModifiedAt":"2026-07-19T15:45:00.000Z","lastCloudSyncAt":"","lastCloudRevision":0,"clientId":""},"settings":{"profileName":"","age":"","heightCm":"","targetWeightKg":"","activeProgram":"UL4","dietMode":"Normal / moderate deficit","normalCalorieTarget":2200,"normalProteinTarget":170,"normalCarbTarget":180,"normalFatTarget":70,"rflCalorieTarget":"","rflProteinTarget":"","rflCarbTarget":"","rflFatTarget":"","stepsTarget":8000,"sleepTargetHrs":7.5,"waterTargetMl":2500,"noBellPeppers":false,"noShellfish":false,"lastSession":"UL4|lower-a","weekStartsMonday":true,"theme":"system","autoSync":false,"syncUrl":"","syncKey":"","availableEquipment":["Bodyweight / floor space","Power rack / squat stands","Barbell + plates","Adjustable bench","Adjustable dumbbells","Cable station / functional trainer","Pull-up bar","Gymnastic rings / suspension trainer","Calf raise platform / machine","Ankle strap","Rope cable attachment","Ab wheel"],"restTimerDefaultSec":120,"autoRestTimer":true,"restTimerSound":true,"autoAdvanceSets":true,"weightIncrementKg":2.5,"smallWeightIncrementKg":1,"trainView":"workout","dumbbellWeightIncrementKg":2,"customEquipment":[],"equipmentProfileName":"Custom home gym"},"programs":[{"id":"UL4","name":"Normal 4-day Upper/Lower","mode":"Normal / moderate deficit","sessions":[{"id":"lower-a","name":"Lower A","day":"Monday","exercises":[{"id":"ul4-lower-a-1","name":"High-bar back squat","sets":3,"reps":"6-8","rir":"1-2","notes":"Use controlled depth; substitute if back/knees complain.","order":1,"exerciseId":"EX001","restSec":150,"updatedAt":"2026-07-19T10:00:00.000Z"},{"id":"ul4-lower-a-2","name":"Romanian deadlift","sets":3,"reps":"6-8","rir":"1-2","notes":"Replace with hip thrust or cable pull-through if lower back is limiting.","order":2,"exerciseId":"EX008","restSec":150,"updatedAt":"2026-07-19T10:00:00.000Z"},{"id":"ul4-lower-a-3","name":"Bulgarian split squat","sets":2,"reps":"8-12 each leg","rir":"1-2","notes":"","order":3,"exerciseId":"EX006","restSec":90,"updatedAt":"2026-07-19T10:00:00.000Z"},{"id":"ul4-lower-a-4","name":"Cable leg curl","sets":2,"reps":"10-15","rir":"1-2","notes":"","order":4,"exerciseId":"EX012","restSec":90,"updatedAt":"2026-07-19T10:00:00.000Z"},{"id":"ul4-lower-a-5","name":"Standing calf raise","sets":3,"reps":"8-15","rir":"1-2","notes":"","order":5,"exerciseId":"EX013","restSec":90,"updatedAt":"2026-07-19T10:00:00.000Z"},{"id":"ul4-lower-a-6","name":"Dead bug or Pallof press","sets":2,"reps":"10-15","rir":"2","notes":"","order":6,"exerciseId":"EX124","restSec":90,"updatedAt":"2026-07-19T15:45:00.000Z"}],"order":1,"updatedAt":"2026-07-19T10:00:00.000Z","notes":""},{"id":"upper-a","name":"Upper A","day":"Tuesday","exercises":[{"id":"ul4-upper-a-1","name":"Barbell bench press","sets":3,"reps":"6-8","rir":"1-2","notes":"","order":1,"exerciseId":"EX014","restSec":150,"updatedAt":"2026-07-19T10:00:00.000Z"},{"id":"ul4-upper-a-2","name":"Chest-supported dumbbell row","sets":3,"reps":"6-10","rir":"1-2","notes":"Back-friendly row option.","order":2,"exerciseId":"EX023","restSec":150,"updatedAt":"2026-07-19T10:00:00.000Z"},{"id":"ul4-upper-a-3","name":"Incline dumbbell press","sets":2,"reps":"8-12","rir":"1-2","notes":"","order":3,"exerciseId":"EX016","restSec":90,"updatedAt":"2026-07-19T10:00:00.000Z"},{"id":"ul4-upper-a-4","name":"Cable lat pulldown or ring chin-up","sets":2,"reps":"8-12","rir":"1-2","notes":"","order":4,"exerciseId":"EX125","restSec":90,"updatedAt":"2026-07-19T15:45:00.000Z"},{"id":"ul4-upper-a-5","name":"Cable lateral raise","sets":3,"reps":"12-20","rir":"1","notes":"GVS-style controlled delt work.","order":5,"exerciseId":"EX033","restSec":90,"updatedAt":"2026-07-19T10:00:00.000Z"},{"id":"ul4-upper-a-6","name":"Cable triceps pushdown","sets":2,"reps":"10-15","rir":"1","notes":"","order":6,"exerciseId":"EX038","restSec":90,"updatedAt":"2026-07-19T10:00:00.000Z"},{"id":"ul4-upper-a-7","name":"Incline dumbbell or cable curl","sets":2,"reps":"10-15","rir":"1","notes":"","order":7,"exerciseId":"EX126","restSec":90,"updatedAt":"2026-07-19T15:45:00.000Z"}],"order":2,"updatedAt":"2026-07-19T10:00:00.000Z","notes":""},{"id":"lower-b","name":"Lower B","day":"Thursday","exercises":[{"id":"ul4-lower-b-1","name":"Front squat or heels-elevated squat","sets":3,"reps":"6-10","rir":"1-2","notes":"Choose the squat pattern that feels best.","order":1,"exerciseId":"EX127","restSec":150,"updatedAt":"2026-07-19T15:45:00.000Z"},{"id":"ul4-lower-b-2","name":"Barbell hip thrust","sets":3,"reps":"8-12","rir":"1-2","notes":"","order":2,"exerciseId":"EX010","restSec":150,"updatedAt":"2026-07-19T10:00:00.000Z"},{"id":"ul4-lower-b-3","name":"Reverse lunge","sets":2,"reps":"8-12 each leg","rir":"1-2","notes":"","order":3,"exerciseId":"EX007","restSec":90,"updatedAt":"2026-07-19T10:00:00.000Z"},{"id":"ul4-lower-b-4","name":"Cable leg curl","sets":2,"reps":"12-20","rir":"1-2","notes":"","order":4,"exerciseId":"EX012","restSec":90,"updatedAt":"2026-07-19T10:00:00.000Z"},{"id":"ul4-lower-b-5","name":"Standing calf raise","sets":3,"reps":"12-20","rir":"1-2","notes":"","order":5,"exerciseId":"EX013","restSec":90,"updatedAt":"2026-07-19T10:00:00.000Z"},{"id":"ul4-lower-b-6","name":"Ab wheel or cable crunch","sets":2,"reps":"8-15","rir":"1-2","notes":"","order":6,"exerciseId":"EX128","restSec":90,"updatedAt":"2026-07-19T15:45:00.000Z"}],"order":3,"updatedAt":"2026-07-19T10:00:00.000Z","notes":""},{"id":"upper-b","name":"Upper B","day":"Friday","exercises":[{"id":"ul4-upper-b-1","name":"Weighted chin-up or heavy pulldown","sets":3,"reps":"6-8","rir":"1-2","notes":"","order":1,"exerciseId":"EX129","restSec":150,"updatedAt":"2026-07-19T15:45:00.000Z"},{"id":"ul4-upper-b-2","name":"Seated dumbbell overhead press","sets":3,"reps":"6-10","rir":"1-2","notes":"","order":2,"exerciseId":"EX020","restSec":150,"updatedAt":"2026-07-19T10:00:00.000Z"},{"id":"ul4-upper-b-3","name":"One-arm cable row","sets":2,"reps":"8-12","rir":"1-2","notes":"","order":3,"exerciseId":"EX024","restSec":90,"updatedAt":"2026-07-19T10:00:00.000Z"},{"id":"ul4-upper-b-4","name":"Close-grip bench press or weighted ring push-up","sets":2,"reps":"8-12","rir":"1-2","notes":"","order":4,"exerciseId":"EX130","restSec":90,"updatedAt":"2026-07-19T15:45:00.000Z"},{"id":"ul4-upper-b-5","name":"Cable rear-delt fly or face pull","sets":3,"reps":"12-20","rir":"1","notes":"","order":5,"exerciseId":"EX131","restSec":90,"updatedAt":"2026-07-19T15:45:00.000Z"},{"id":"ul4-upper-b-6","name":"Cable lateral raise","sets":2,"reps":"12-20","rir":"1","notes":"","order":6,"exerciseId":"EX033","restSec":90,"updatedAt":"2026-07-19T10:00:00.000Z"},{"id":"ul4-upper-b-7","name":"Overhead cable triceps extension","sets":2,"reps":"10-15","rir":"1","notes":"","order":7,"exerciseId":"EX039","restSec":90,"updatedAt":"2026-07-19T10:00:00.000Z"},{"id":"ul4-upper-b-8","name":"Dumbbell hammer curl","sets":2,"reps":"10-15","rir":"1","notes":"","order":8,"exerciseId":"EX043","restSec":90,"updatedAt":"2026-07-19T10:00:00.000Z"}],"order":4,"updatedAt":"2026-07-19T10:00:00.000Z","notes":""}],"description":"Four-day upper/lower plan for normal dieting, maintenance, or slow fat loss.","active":true,"updatedAt":"2026-07-19T10:00:00.000Z"},{"id":"RFL2","name":"RFL 2-day Full Body","mode":"RFL / PSMF","sessions":[{"id":"rfl-full-body-a","name":"RFL Full Body A","day":"Monday","exercises":[{"id":"rfl2-rfl-full-body-a-1","name":"High-bar back squat","sets":2,"reps":"5-8","rir":"2-3","notes":"Preserve strength; no grinders.","order":1,"exerciseId":"EX001","restSec":90,"updatedAt":"2026-07-19T10:00:00.000Z"},{"id":"rfl2-rfl-full-body-a-2","name":"Barbell bench press","sets":2,"reps":"5-8","rir":"2-3","notes":"","order":2,"exerciseId":"EX014","restSec":90,"updatedAt":"2026-07-19T10:00:00.000Z"},{"id":"rfl2-rfl-full-body-a-3","name":"Chest-supported dumbbell row","sets":2,"reps":"6-10","rir":"2-3","notes":"","order":3,"exerciseId":"EX023","restSec":90,"updatedAt":"2026-07-19T10:00:00.000Z"},{"id":"rfl2-rfl-full-body-a-4","name":"Romanian deadlift or hip thrust","sets":2,"reps":"6-10","rir":"2-3","notes":"","order":4,"exerciseId":"EX132","restSec":90,"updatedAt":"2026-07-19T15:45:00.000Z"},{"id":"rfl2-rfl-full-body-a-5","name":"Cable lateral raise","sets":1,"reps":"12-20","rir":"2-3","notes":"","order":5,"exerciseId":"EX033","restSec":90,"updatedAt":"2026-07-19T10:00:00.000Z"},{"id":"rfl2-rfl-full-body-a-6","name":"Cable curl","sets":1,"reps":"10-15","rir":"2-3","notes":"","order":6,"exerciseId":"EX041","restSec":90,"updatedAt":"2026-07-19T10:00:00.000Z"},{"id":"rfl2-rfl-full-body-a-7","name":"Cable triceps pushdown","sets":1,"reps":"10-15","rir":"2-3","notes":"","order":7,"exerciseId":"EX038","restSec":90,"updatedAt":"2026-07-19T10:00:00.000Z"}],"order":1,"updatedAt":"2026-07-19T10:00:00.000Z","notes":""},{"id":"rfl-full-body-b","name":"RFL Full Body B","day":"Thursday","exercises":[{"id":"rfl2-rfl-full-body-b-1","name":"Front squat or Bulgarian split squat","sets":2,"reps":"6-10","rir":"2-3","notes":"","order":1,"exerciseId":"EX133","restSec":90,"updatedAt":"2026-07-19T15:45:00.000Z"},{"id":"rfl2-rfl-full-body-b-2","name":"Incline dumbbell or seated dumbbell press","sets":2,"reps":"6-10","rir":"2-3","notes":"","order":2,"exerciseId":"EX022","restSec":90,"updatedAt":"2026-07-19T10:00:00.000Z"},{"id":"rfl2-rfl-full-body-b-3","name":"Pulldown or chin-up","sets":2,"reps":"6-10","rir":"2-3","notes":"","order":3,"exerciseId":"EX134","restSec":90,"updatedAt":"2026-07-19T15:45:00.000Z"},{"id":"rfl2-rfl-full-body-b-4","name":"Hip thrust or cable leg curl","sets":2,"reps":"8-12","rir":"2-3","notes":"","order":4,"exerciseId":"EX135","restSec":90,"updatedAt":"2026-07-19T15:45:00.000Z"},{"id":"rfl2-rfl-full-body-b-5","name":"Rear-delt cable fly","sets":1,"reps":"12-20","rir":"2-3","notes":"","order":5,"exerciseId":"EX037","restSec":90,"updatedAt":"2026-07-19T10:00:00.000Z"},{"id":"rfl2-rfl-full-body-b-6","name":"Hammer curl","sets":1,"reps":"10-15","rir":"2-3","notes":"","order":6,"exerciseId":"EX136","restSec":90,"updatedAt":"2026-07-19T15:45:00.000Z"},{"id":"rfl2-rfl-full-body-b-7","name":"Overhead triceps extension","sets":1,"reps":"10-15","rir":"2-3","notes":"","order":7,"exerciseId":"EX137","restSec":90,"updatedAt":"2026-07-19T15:45:00.000Z"}],"order":2,"updatedAt":"2026-07-19T10:00:00.000Z","notes":""}],"description":"Two-day low-volume full-body plan for RFL blocks; preserve strength rather than chase fatigue.","active":true,"updatedAt":"2026-07-19T10:00:00.000Z"},{"id":"GVS_EXTRA","name":"Optional GVS-style Delts/Arms","mode":"Optional only outside RFL","sessions":[{"id":"delts-arms","name":"Delts/Arms","day":"Saturday","exercises":[{"id":"gvs_extra-delts-arms-1","name":"Cable lateral raise","sets":3,"reps":"15-25","rir":"0-1 on final safe set","notes":"Only if recovered; skip during RFL.","order":1,"exerciseId":"EX033","restSec":90,"updatedAt":"2026-07-19T10:00:00.000Z"},{"id":"gvs_extra-delts-arms-2","name":"Cable rear-delt fly","sets":3,"reps":"15-25","rir":"0-1 on final safe set","notes":"","order":2,"exerciseId":"EX035","restSec":90,"updatedAt":"2026-07-19T10:00:00.000Z"},{"id":"gvs_extra-delts-arms-3","name":"Cable or ring curl","sets":2,"reps":"10-15","rir":"1","notes":"","order":3,"exerciseId":"EX045","restSec":90,"updatedAt":"2026-07-19T10:00:00.000Z"},{"id":"gvs_extra-delts-arms-4","name":"Overhead cable triceps extension","sets":2,"reps":"10-15","rir":"1","notes":"","order":4,"exerciseId":"EX039","restSec":90,"updatedAt":"2026-07-19T10:00:00.000Z"},{"id":"gvs_extra-delts-arms-5","name":"Standing calf raise","sets":3,"reps":"12-20","rir":"1","notes":"","order":5,"exerciseId":"EX013","restSec":90,"updatedAt":"2026-07-19T10:00:00.000Z"}],"order":1,"updatedAt":"2026-07-19T10:00:00.000Z","notes":""}],"description":"Optional short delt/arm/calves session only when recovered and outside RFL.","active":true,"updatedAt":"2026-07-19T10:00:00.000Z"}],"exercises":[{"id":"EX001","name":"High-bar back squat","muscle":"Quads / Glutes","pattern":"Squat","equipment":"Power rack / squat stands + Barbell + plates","primaryFor":"Squat","difficulty":"Main lift","notes":"Use if bracing and depth remain controlled.","rflOk":"Yes","favourite":false,"updatedAt":"2026-07-19T10:00:00.000Z","equipmentOptions":[["Power rack / squat stands","Barbell + plates"]],"optionalEquipment":[]},{"id":"EX002","name":"Front squat","muscle":"Quads / Core","pattern":"Squat","equipment":"Power rack / squat stands + Barbell + plates","primaryFor":"Squat","difficulty":"Main lift","notes":"Useful if it is more back-friendly than back squat.","rflOk":"Yes","favourite":false,"updatedAt":"2026-07-19T10:00:00.000Z","equipmentOptions":[["Power rack / squat stands","Barbell + plates"]],"optionalEquipment":[]},{"id":"EX003","name":"Heels-elevated squat","muscle":"Quads","pattern":"Squat","equipment":"Power rack / squat stands + Barbell + plates OR Dumbbells","primaryFor":"Squat","difficulty":"Main lift","notes":"More quad bias; use a small wedge or plates under heels.","rflOk":"Yes","favourite":false,"updatedAt":"2026-07-19T10:00:00.000Z","equipmentOptions":[["Power rack / squat stands","Barbell + plates"],["Dumbbells"]],"optionalEquipment":["Slant board / heel wedge"]},{"id":"EX004","name":"Box squat","muscle":"Quads / Glutes","pattern":"Squat","equipment":"Power rack / squat stands + Barbell + plates + Bench or box","primaryFor":"Squat","difficulty":"Substitution","notes":"Useful for controlled depth.","rflOk":"Yes","favourite":false,"updatedAt":"2026-07-19T10:00:00.000Z","equipmentOptions":[["Power rack / squat stands","Barbell + plates","Bench or box"]],"optionalEquipment":[]},{"id":"EX005","name":"Goblet squat","muscle":"Quads / Glutes","pattern":"Squat","equipment":"Dumbbells OR Kettlebells","primaryFor":"Squat","difficulty":"Substitution","notes":"Good warm-up or deload option.","rflOk":"Yes","favourite":false,"updatedAt":"2026-07-19T10:00:00.000Z","equipmentOptions":[["Dumbbells"],["Kettlebells"]],"optionalEquipment":["Slant board / heel wedge"]},{"id":"EX006","name":"Bulgarian split squat","muscle":"Quads / Glutes","pattern":"Single-leg","equipment":"Bench or box","primaryFor":"Squat","difficulty":"Accessory","notes":"High stimulus with lower spinal loading.","rflOk":"Yes","favourite":false,"updatedAt":"2026-07-19T10:00:00.000Z","equipmentOptions":[["Bench or box"]],"optionalEquipment":["Dumbbells"]},{"id":"EX007","name":"Reverse lunge","muscle":"Quads / Glutes","pattern":"Single-leg","equipment":"Bodyweight / floor space","primaryFor":"Squat","difficulty":"Accessory","notes":"Usually knee-friendly if stride is controlled.","rflOk":"Yes","favourite":false,"updatedAt":"2026-07-19T10:00:00.000Z","equipmentOptions":[["Bodyweight / floor space"]],"optionalEquipment":["Dumbbells"]},{"id":"EX008","name":"Romanian deadlift","muscle":"Hamstrings / Glutes","pattern":"Hip hinge","equipment":"Barbell + plates OR Dumbbells OR Kettlebells","primaryFor":"Hinge","difficulty":"Main lift","notes":"Only use if lower back is not the limiter.","rflOk":"Yes","favourite":false,"updatedAt":"2026-07-19T10:00:00.000Z","equipmentOptions":[["Barbell + plates"],["Dumbbells"],["Kettlebells"]],"optionalEquipment":[]},{"id":"EX009","name":"Dumbbell Romanian deadlift","muscle":"Hamstrings / Glutes","pattern":"Hip hinge","equipment":"Dumbbells","primaryFor":"Hinge","difficulty":"Substitution","notes":"Easier to control than barbell for some lifters.","rflOk":"Yes","favourite":false,"updatedAt":"2026-07-19T10:00:00.000Z","equipmentOptions":[["Dumbbells"]],"optionalEquipment":[]},{"id":"EX010","name":"Barbell hip thrust","muscle":"Glutes / Hamstrings","pattern":"Hip extension","equipment":"Barbell + plates + Bench","primaryFor":"Hinge","difficulty":"Main lift","notes":"Back-friendly hinge replacement.","rflOk":"Yes","favourite":false,"updatedAt":"2026-07-19T10:00:00.000Z","equipmentOptions":[["Barbell + plates","Bench"]],"optionalEquipment":[]},{"id":"EX011","name":"Cable pull-through","muscle":"Glutes / Hamstrings","pattern":"Hip hinge","equipment":"Cable station","primaryFor":"Hinge","difficulty":"Substitution","notes":"Good replacement for RDL if back feels taxed.","rflOk":"Yes","favourite":false,"updatedAt":"2026-07-19T10:00:00.000Z","equipmentOptions":[["Cable station"]],"optionalEquipment":[]},{"id":"EX012","name":"Cable leg curl","muscle":"Hamstrings","pattern":"Knee flexion","equipment":"Cable station + Ankle strap","primaryFor":"Hamstrings","difficulty":"Accessory","notes":"Can use bench/prone setup with ankle strap.","rflOk":"Yes","favourite":false,"updatedAt":"2026-07-19T10:00:00.000Z","equipmentOptions":[["Cable station","Ankle strap"]],"optionalEquipment":[]},{"id":"EX013","name":"Standing calf raise","muscle":"Calves","pattern":"Calf raise","equipment":"Bodyweight / floor space","primaryFor":"Calves","difficulty":"Accessory","notes":"Pause in stretched and contracted positions.","rflOk":"Yes","favourite":false,"updatedAt":"2026-07-19T10:00:00.000Z","equipmentOptions":[["Bodyweight / floor space"]],"optionalEquipment":["Dumbbells","Barbell + plates","Calf raise platform / machine"]},{"id":"EX014","name":"Barbell bench press","muscle":"Chest / Triceps","pattern":"Horizontal press","equipment":"Power rack / squat stands + Barbell + plates + Bench","primaryFor":"Press","difficulty":"Main lift","notes":"Use safeties in rack.","rflOk":"Yes","favourite":false,"updatedAt":"2026-07-19T10:00:00.000Z","equipmentOptions":[["Power rack / squat stands","Barbell + plates","Bench"]],"optionalEquipment":[]},{"id":"EX015","name":"Dumbbell bench press","muscle":"Chest / Triceps","pattern":"Horizontal press","equipment":"Dumbbells + Bench","primaryFor":"Press","difficulty":"Substitution","notes":"Good shoulder-friendly press variation.","rflOk":"Yes","favourite":false,"updatedAt":"2026-07-19T10:00:00.000Z","equipmentOptions":[["Dumbbells","Bench"]],"optionalEquipment":[]},{"id":"EX016","name":"Incline dumbbell press","muscle":"Upper chest","pattern":"Incline press","equipment":"Dumbbells + Adjustable bench","primaryFor":"Press","difficulty":"Accessory","notes":"Use controlled eccentric.","rflOk":"Yes","favourite":false,"updatedAt":"2026-07-19T10:00:00.000Z","equipmentOptions":[["Dumbbells","Adjustable bench"]],"optionalEquipment":[]},{"id":"EX017","name":"Floor press","muscle":"Chest / Triceps","pattern":"Horizontal press","equipment":"Barbell + plates OR Dumbbells","primaryFor":"Press","difficulty":"Substitution","notes":"Good if shoulder range is sensitive.","rflOk":"Yes","favourite":false,"updatedAt":"2026-07-19T10:00:00.000Z","equipmentOptions":[["Barbell + plates"],["Dumbbells"]],"optionalEquipment":["Power rack / squat stands"]},{"id":"EX018","name":"Close-grip bench press","muscle":"Triceps / Chest","pattern":"Horizontal press","equipment":"Power rack / squat stands + Barbell + plates + Bench","primaryFor":"Triceps","difficulty":"Accessory","notes":"Avoid painful wrist/elbow angles.","rflOk":"Yes","favourite":false,"updatedAt":"2026-07-19T10:00:00.000Z","equipmentOptions":[["Power rack / squat stands","Barbell + plates","Bench"]],"optionalEquipment":[]},{"id":"EX019","name":"Weighted ring push-up","muscle":"Chest / Triceps","pattern":"Horizontal press","equipment":"Gymnastic rings / suspension trainer","primaryFor":"Press","difficulty":"Substitution","notes":"Progress by adding load or elevating feet.","rflOk":"Yes","favourite":false,"updatedAt":"2026-07-19T10:00:00.000Z","equipmentOptions":[["Gymnastic rings / suspension trainer"]],"optionalEquipment":["Weighted vest"]},{"id":"EX020","name":"Seated dumbbell overhead press","muscle":"Delts / Triceps","pattern":"Vertical press","equipment":"Dumbbells + Bench","primaryFor":"Press","difficulty":"Main lift","notes":"More back-friendly than standing press.","rflOk":"Yes","favourite":false,"updatedAt":"2026-07-19T10:00:00.000Z","equipmentOptions":[["Dumbbells","Bench"]],"optionalEquipment":[]},{"id":"EX021","name":"Standing overhead press","muscle":"Delts / Triceps","pattern":"Vertical press","equipment":"Barbell + plates","primaryFor":"Press","difficulty":"Substitution","notes":"Use only if bracing is solid.","rflOk":"Yes","favourite":false,"updatedAt":"2026-07-19T10:00:00.000Z","equipmentOptions":[["Barbell + plates"]],"optionalEquipment":[]},{"id":"EX022","name":"Incline dumbbell or seated dumbbell press","muscle":"Chest / Delts","pattern":"Incline or vertical press","equipment":"Dumbbells + Adjustable bench","primaryFor":"Press","difficulty":"RFL combined slot","notes":"Choose the one that feels strongest that day.","rflOk":"Yes","favourite":false,"updatedAt":"2026-07-19T10:00:00.000Z","equipmentOptions":[["Dumbbells","Adjustable bench"]],"optionalEquipment":[]},{"id":"EX023","name":"Chest-supported dumbbell row","muscle":"Upper back / Lats","pattern":"Horizontal pull","equipment":"Dumbbells + Adjustable bench","primaryFor":"Row","difficulty":"Main lift","notes":"Preferred back-friendly row.","rflOk":"Yes","favourite":false,"updatedAt":"2026-07-19T10:00:00.000Z","equipmentOptions":[["Dumbbells","Adjustable bench"]],"optionalEquipment":[]},{"id":"EX024","name":"One-arm cable row","muscle":"Upper back / Lats","pattern":"Horizontal pull","equipment":"Cable station","primaryFor":"Row","difficulty":"Accessory","notes":"Keep torso stable.","rflOk":"Yes","favourite":false,"updatedAt":"2026-07-19T10:00:00.000Z","equipmentOptions":[["Cable station"]],"optionalEquipment":[]},{"id":"EX025","name":"Seated cable row","muscle":"Upper back / Lats","pattern":"Horizontal pull","equipment":"Cable station OR Lat pulldown / low row machine","primaryFor":"Row","difficulty":"Substitution","notes":"Good controlled row option.","rflOk":"Yes","favourite":false,"updatedAt":"2026-07-19T10:00:00.000Z","equipmentOptions":[["Cable station"],["Lat pulldown / low row machine"]],"optionalEquipment":[]},{"id":"EX026","name":"One-arm dumbbell row","muscle":"Lats / Upper back","pattern":"Horizontal pull","equipment":"Dumbbells + Bench","primaryFor":"Row","difficulty":"Substitution","notes":"Support torso on bench.","rflOk":"Yes","favourite":false,"updatedAt":"2026-07-19T10:00:00.000Z","equipmentOptions":[["Dumbbells","Bench"]],"optionalEquipment":[]},{"id":"EX027","name":"Inverted row","muscle":"Upper back","pattern":"Horizontal pull","equipment":"Gymnastic rings / suspension trainer OR Power rack / squat stands + Barbell + plates","primaryFor":"Row","difficulty":"Substitution","notes":"Adjust body angle for difficulty.","rflOk":"Yes","favourite":false,"updatedAt":"2026-07-19T10:00:00.000Z","equipmentOptions":[["Gymnastic rings / suspension trainer"],["Power rack / squat stands","Barbell + plates"]],"optionalEquipment":["Weighted vest"]},{"id":"EX028","name":"Barbell row","muscle":"Upper back","pattern":"Horizontal pull","equipment":"Barbell + plates","primaryFor":"Row","difficulty":"Caution","notes":"Use only if lower back is not limiting.","rflOk":"No during RFL if fatigued","favourite":false,"updatedAt":"2026-07-19T10:00:00.000Z","equipmentOptions":[["Barbell + plates"]],"optionalEquipment":[]},{"id":"EX029","name":"Cable lat pulldown","muscle":"Lats","pattern":"Vertical pull","equipment":"Cable station OR Lat pulldown / low row machine","primaryFor":"Vertical pull","difficulty":"Main lift","notes":"Use controlled stretch.","rflOk":"Yes","favourite":false,"updatedAt":"2026-07-19T10:00:00.000Z","equipmentOptions":[["Cable station"],["Lat pulldown / low row machine"]],"optionalEquipment":[]},{"id":"EX030","name":"Ring chin-up","muscle":"Lats / Biceps","pattern":"Vertical pull","equipment":"Gymnastic rings / suspension trainer","primaryFor":"Vertical pull","difficulty":"Substitution","notes":"Use assistance if needed.","rflOk":"Yes","favourite":false,"updatedAt":"2026-07-19T10:00:00.000Z","equipmentOptions":[["Gymnastic rings / suspension trainer"]],"optionalEquipment":["Resistance bands / tubes","Dip belt / loading belt"]},{"id":"EX031","name":"Weighted chin-up","muscle":"Lats / Biceps","pattern":"Vertical pull","equipment":"Pull-up bar + Dip belt / loading belt","primaryFor":"Vertical pull","difficulty":"Main lift","notes":"Only load when reps are clean.","rflOk":"Yes","favourite":false,"updatedAt":"2026-07-19T10:00:00.000Z","equipmentOptions":[["Pull-up bar","Dip belt / loading belt"]],"optionalEquipment":[]},{"id":"EX032","name":"Straight-arm cable pulldown","muscle":"Lats","pattern":"Pullover","equipment":"Cable station","primaryFor":"Vertical pull","difficulty":"Accessory","notes":"Good lat isolation add-on.","rflOk":"Yes","favourite":false,"updatedAt":"2026-07-19T10:00:00.000Z","equipmentOptions":[["Cable station"]],"optionalEquipment":[]},{"id":"EX033","name":"Cable lateral raise","muscle":"Side delts","pattern":"Lateral raise","equipment":"Cable station","primaryFor":"Delts","difficulty":"GVS-style accessory","notes":"High-control delt work.","rflOk":"Yes","favourite":false,"updatedAt":"2026-07-19T10:00:00.000Z","equipmentOptions":[["Cable station"]],"optionalEquipment":[]},{"id":"EX034","name":"Dumbbell lateral raise","muscle":"Side delts","pattern":"Lateral raise","equipment":"Dumbbells","primaryFor":"Delts","difficulty":"Substitution","notes":"Use strict reps; avoid swinging.","rflOk":"Yes","favourite":false,"updatedAt":"2026-07-19T10:00:00.000Z","equipmentOptions":[["Dumbbells"]],"optionalEquipment":[]},{"id":"EX035","name":"Cable rear-delt fly","muscle":"Rear delts","pattern":"Rear delt","equipment":"Cable station","primaryFor":"Rear delts","difficulty":"Accessory","notes":"Lead with elbows, not hands.","rflOk":"Yes","favourite":false,"updatedAt":"2026-07-19T10:00:00.000Z","equipmentOptions":[["Cable station"]],"optionalEquipment":[]},{"id":"EX036","name":"Face pull","muscle":"Rear delts / Upper back","pattern":"Rear delt / external rotation","equipment":"Cable station + Rope cable attachment","primaryFor":"Rear delts","difficulty":"Substitution","notes":"Good shoulder-health option.","rflOk":"Yes","favourite":false,"updatedAt":"2026-07-19T10:00:00.000Z","equipmentOptions":[["Cable station","Rope cable attachment"]],"optionalEquipment":[]},{"id":"EX037","name":"Rear-delt cable fly","muscle":"Rear delts","pattern":"Rear delt","equipment":"Cable station","primaryFor":"Rear delts","difficulty":"Accessory","notes":"Same as cable rear-delt fly.","rflOk":"Yes","favourite":false,"updatedAt":"2026-07-19T10:00:00.000Z","equipmentOptions":[["Cable station"]],"optionalEquipment":[]},{"id":"EX038","name":"Cable triceps pushdown","muscle":"Triceps","pattern":"Elbow extension","equipment":"Cable station","primaryFor":"Triceps","difficulty":"Accessory","notes":"Keep upper arm fixed.","rflOk":"Yes","favourite":false,"updatedAt":"2026-07-19T10:00:00.000Z","equipmentOptions":[["Cable station"]],"optionalEquipment":[]},{"id":"EX039","name":"Overhead cable triceps extension","muscle":"Triceps long head","pattern":"Elbow extension","equipment":"Cable station + Rope cable attachment","primaryFor":"Triceps","difficulty":"Accessory","notes":"Use pain-free elbow path.","rflOk":"Yes","favourite":false,"updatedAt":"2026-07-19T10:00:00.000Z","equipmentOptions":[["Cable station","Rope cable attachment"]],"optionalEquipment":[]},{"id":"EX040","name":"Dumbbell skull crusher","muscle":"Triceps","pattern":"Elbow extension","equipment":"Dumbbells","primaryFor":"Triceps","difficulty":"Substitution","notes":"Use light and controlled.","rflOk":"Maybe","favourite":false,"updatedAt":"2026-07-19T10:00:00.000Z","equipmentOptions":[["Dumbbells"]],"optionalEquipment":[]},{"id":"EX041","name":"Cable curl","muscle":"Biceps","pattern":"Elbow flexion","equipment":"Cable station","primaryFor":"Biceps","difficulty":"Accessory","notes":"Constant tension curl.","rflOk":"Yes","favourite":false,"updatedAt":"2026-07-19T10:00:00.000Z","equipmentOptions":[["Cable station"]],"optionalEquipment":[]},{"id":"EX042","name":"Incline dumbbell curl","muscle":"Biceps","pattern":"Elbow flexion","equipment":"Dumbbells + Adjustable bench","primaryFor":"Biceps","difficulty":"Accessory","notes":"Great long-head stretch; do not overextend shoulder.","rflOk":"Yes","favourite":false,"updatedAt":"2026-07-19T10:00:00.000Z","equipmentOptions":[["Dumbbells","Adjustable bench"]],"optionalEquipment":[]},{"id":"EX043","name":"Dumbbell hammer curl","muscle":"Biceps / Brachialis","pattern":"Elbow flexion","equipment":"Dumbbells","primaryFor":"Biceps","difficulty":"Accessory","notes":"Neutral-grip elbow-friendly curl.","rflOk":"Yes","favourite":false,"updatedAt":"2026-07-19T10:00:00.000Z","equipmentOptions":[["Dumbbells"]],"optionalEquipment":[]},{"id":"EX044","name":"Ring curl","muscle":"Biceps","pattern":"Elbow flexion","equipment":"Gymnastic rings / suspension trainer","primaryFor":"Biceps","difficulty":"Substitution","notes":"Adjust angle for difficulty.","rflOk":"Yes","favourite":false,"updatedAt":"2026-07-19T10:00:00.000Z","equipmentOptions":[["Gymnastic rings / suspension trainer"]],"optionalEquipment":[]},{"id":"EX045","name":"Cable or ring curl","muscle":"Biceps","pattern":"Elbow flexion","equipment":"Cable station OR Gymnastic rings / suspension trainer","primaryFor":"Biceps","difficulty":"Optional slot","notes":"Choose cable if elbows feel sensitive.","rflOk":"Yes","favourite":false,"updatedAt":"2026-07-19T10:00:00.000Z","equipmentOptions":[["Cable station"],["Gymnastic rings / suspension trainer"]],"optionalEquipment":[]},{"id":"EX046","name":"Dead bug","muscle":"Core","pattern":"Anti-extension","equipment":"Bodyweight / floor space","primaryFor":"Core","difficulty":"Accessory","notes":"Control lower back position.","rflOk":"Yes","favourite":false,"updatedAt":"2026-07-19T10:00:00.000Z","equipmentOptions":[["Bodyweight / floor space"]],"optionalEquipment":[]},{"id":"EX047","name":"Pallof press","muscle":"Core","pattern":"Anti-rotation","equipment":"Cable station OR Resistance bands / tubes","primaryFor":"Core","difficulty":"Accessory","notes":"Pause each rep.","rflOk":"Yes","favourite":false,"updatedAt":"2026-07-19T10:00:00.00</x:v>
      </x:c>
      <x:c r="C2" s="65" t="n">
        <x:v>0</x:v>
      </x:c>
      <x:c r="D2" s="101" t="n">
        <x:v>46222.65625</x:v>
      </x:c>
      <x:c r="E2" s="65" t="str">
        <x:v>template</x:v>
      </x:c>
      <x:c r="F2" s="65" t="str">
        <x:v>v2.2 template</x:v>
      </x:c>
      <x:c r="G2" s="66" t="str"/>
    </x:row>
    <x:row r="3">
      <x:c r="A3" s="71" t="n">
        <x:v>2</x:v>
      </x:c>
      <x:c r="B3" s="72" t="str">
        <x:v>0Z","equipmentOptions":[["Cable station"],["Resistance bands / tubes"]],"optionalEquipment":[]},{"id":"EX048","name":"Ab wheel","muscle":"Core","pattern":"Anti-extension","equipment":"Ab wheel","primaryFor":"Core","difficulty":"Accessory","notes":"Use only if lower back stays neutral.","rflOk":"No if fatigued","favourite":false,"updatedAt":"2026-07-19T10:00:00.000Z","equipmentOptions":[["Ab wheel"]],"optionalEquipment":[]},{"id":"EX049","name":"Cable crunch","muscle":"Abs","pattern":"Spinal flexion","equipment":"Cable station","primaryFor":"Core","difficulty":"Substitution","notes":"Controlled range; avoid yanking.","rflOk":"Yes","favourite":false,"updatedAt":"2026-07-19T10:00:00.000Z","equipmentOptions":[["Cable station"]],"optionalEquipment":[]},{"id":"EX050","name":"Brisk walking","muscle":"Cardio / Recovery","pattern":"Aerobic","equipment":"Bodyweight / floor space OR Treadmill","primaryFor":"Cardio","difficulty":"Recovery","notes":"Easy pace where you can speak in sentences.","rflOk":"Yes","favourite":false,"updatedAt":"2026-07-19T10:00:00.000Z","equipmentOptions":[["Bodyweight / floor space"],["Treadmill"]],"optionalEquipment":["Weighted vest"]},{"id":"EX051","name":"Easy bike","muscle":"Cardio / Recovery","pattern":"Aerobic","equipment":"Exercise bike","primaryFor":"Cardio","difficulty":"Recovery","notes":"Low impact option if available.","rflOk":"Yes","favourite":false,"updatedAt":"2026-07-19T10:00:00.000Z","equipmentOptions":[["Exercise bike"]],"optionalEquipment":[]},{"id":"EX052","name":"Mobility flow","muscle":"Recovery","pattern":"Mobility","equipment":"Bodyweight / floor space","primaryFor":"Recovery","difficulty":"Recovery","notes":"5-10 minutes hips, t-spine, ankles.","rflOk":"Yes","favourite":false,"updatedAt":"2026-07-19T10:00:00.000Z","equipmentOptions":[["Bodyweight / floor space"]],"optionalEquipment":[]},{"id":"EX053","name":"Push-up","muscle":"Chest / Triceps","pattern":"Horizontal press","equipment":"Bodyweight / floor space","equipmentOptions":[["Bodyweight / floor space"]],"optionalEquipment":["Weighted vest","Resistance bands / tubes"],"primaryFor":"Horizontal press","difficulty":"Substitution","notes":"Use handles or dumbbells as grips if wrists prefer neutral.","rflOk":"Yes","favourite":false,"updatedAt":"2026-07-19T15:45:00.000Z"},{"id":"EX054","name":"Feet-elevated push-up","muscle":"Upper chest / Triceps","pattern":"Incline press","equipment":"Bodyweight / floor space + Bench or box","equipmentOptions":[["Bodyweight / floor space","Bench or box"]],"optionalEquipment":["Weighted vest"],"primaryFor":"Incline press","difficulty":"Substitution","notes":"","rflOk":"Yes","favourite":false,"updatedAt":"2026-07-19T15:45:00.000Z"},{"id":"EX055","name":"Pike push-up","muscle":"Delts / Triceps","pattern":"Vertical press","equipment":"Bodyweight / floor space","equipmentOptions":[["Bodyweight / floor space"]],"optionalEquipment":["Bench or box"],"primaryFor":"Vertical press","difficulty":"Substitution","notes":"","rflOk":"Yes","favourite":false,"updatedAt":"2026-07-19T15:45:00.000Z"},{"id":"EX056","name":"Parallel-bar dip","muscle":"Chest / Triceps","pattern":"Vertical dip","equipment":"Dip station / parallel bars","equipmentOptions":[["Dip station / parallel bars"]],"optionalEquipment":["Dip belt / loading belt","Resistance bands / tubes"],"primaryFor":"Horizontal press","difficulty":"Substitution","notes":"","rflOk":"Yes","favourite":false,"updatedAt":"2026-07-19T15:45:00.000Z"},{"id":"EX057","name":"Band-assisted dip","muscle":"Chest / Triceps","pattern":"Vertical dip","equipment":"Dip station / parallel bars + Resistance bands / tubes","equipmentOptions":[["Dip station / parallel bars","Resistance bands / tubes"]],"optionalEquipment":[],"primaryFor":"Horizontal press","difficulty":"Substitution","notes":"","rflOk":"Yes","favourite":false,"updatedAt":"2026-07-19T15:45:00.000Z"},{"id":"EX058","name":"Low-bar back squat","muscle":"Quads / Glutes","pattern":"Squat","equipment":"Power rack / squat stands + Barbell + plates","equipmentOptions":[["Power rack / squat stands","Barbell + plates"]],"optionalEquipment":[],"primaryFor":"Squat","difficulty":"Main lift","notes":"Use only if shoulder position and technique are comfortable.","rflOk":"Yes","favourite":false,"updatedAt":"2026-07-19T15:45:00.000Z"},{"id":"EX059","name":"Safety-bar squat","muscle":"Quads / Glutes","pattern":"Squat","equipment":"Power rack / squat stands + Safety squat bar","equipmentOptions":[["Power rack / squat stands","Safety squat bar"]],"optionalEquipment":[],"primaryFor":"Squat","difficulty":"Main lift","notes":"Often easier on shoulders and upper back.","rflOk":"Yes","favourite":false,"updatedAt":"2026-07-19T15:45:00.000Z"},{"id":"EX060","name":"Smith-machine squat","muscle":"Quads / Glutes","pattern":"Squat","equipment":"Smith machine","equipmentOptions":[["Smith machine"]],"optionalEquipment":[],"primaryFor":"Squat","difficulty":"Main lift","notes":"Choose a foot position that keeps the movement comfortable.","rflOk":"Yes","favourite":false,"updatedAt":"2026-07-19T15:45:00.000Z"},{"id":"EX061","name":"Landmine squat","muscle":"Quads / Glutes","pattern":"Squat","equipment":"Barbell + plates + Landmine attachment","equipmentOptions":[["Barbell + plates","Landmine attachment"]],"optionalEquipment":[],"primaryFor":"Squat","difficulty":"Substitution","notes":"Stable front-loaded squat option.","rflOk":"Yes","favourite":false,"updatedAt":"2026-07-19T15:45:00.000Z"},{"id":"EX062","name":"Leg press","muscle":"Quads / Glutes","pattern":"Squat","equipment":"Leg press / hack squat","equipmentOptions":[["Leg press / hack squat"]],"optionalEquipment":[],"primaryFor":"Squat","difficulty":"Main lift","notes":"Use controlled depth and avoid pelvis rolling.","rflOk":"Yes","favourite":false,"updatedAt":"2026-07-19T15:45:00.000Z"},{"id":"EX063","name":"Hack squat","muscle":"Quads / Glutes","pattern":"Squat","equipment":"Leg press / hack squat","equipmentOptions":[["Leg press / hack squat"]],"optionalEquipment":[],"primaryFor":"Squat","difficulty":"Main lift","notes":"Quad-biased machine squat.","rflOk":"Yes","favourite":false,"updatedAt":"2026-07-19T15:45:00.000Z"},{"id":"EX064","name":"Leg extension","muscle":"Quads","pattern":"Knee extension","equipment":"Leg extension machine","equipmentOptions":[["Leg extension machine"]],"optionalEquipment":[],"primaryFor":"Quads","difficulty":"Isolation","notes":"Control the top and lower without bouncing.","rflOk":"Maybe","favourite":false,"updatedAt":"2026-07-19T15:45:00.000Z"},{"id":"EX065","name":"Step-up","muscle":"Quads / Glutes","pattern":"Single-leg","equipment":"Bench or box","equipmentOptions":[["Bench or box"]],"optionalEquipment":["Dumbbells","Kettlebells"],"primaryFor":"Single-leg","difficulty":"Substitution","notes":"","rflOk":"Yes","favourite":false,"updatedAt":"2026-07-19T15:45:00.000Z"},{"id":"EX066","name":"Walking lunge","muscle":"Quads / Glutes","pattern":"Single-leg","equipment":"Bodyweight / floor space","equipmentOptions":[["Bodyweight / floor space"]],"optionalEquipment":["Dumbbells","Kettlebells","Weighted vest"],"primaryFor":"Single-leg","difficulty":"Substitution","notes":"","rflOk":"Yes","favourite":false,"updatedAt":"2026-07-19T15:45:00.000Z"},{"id":"EX067","name":"Bodyweight split squat","muscle":"Quads / Glutes","pattern":"Single-leg","equipment":"Bodyweight / floor space","equipmentOptions":[["Bodyweight / floor space"]],"optionalEquipment":["Dumbbells","Weighted vest"],"primaryFor":"Single-leg","difficulty":"Substitution","notes":"","rflOk":"Yes","favourite":false,"updatedAt":"2026-07-19T15:45:00.000Z"},{"id":"EX068","name":"Conventional deadlift","muscle":"Hamstrings / Glutes / Back","pattern":"Hip hinge","equipment":"Barbell + plates","equipmentOptions":[["Barbell + plates"]],"optionalEquipment":[],"primaryFor":"Hip hinge","difficulty":"Main lift","notes":"Use only when technique and recovery support it.","rflOk":"Maybe","favourite":false,"updatedAt":"2026-07-19T15:45:00.000Z"},{"id":"EX069","name":"Sumo deadlift","muscle":"Glutes / Hamstrings / Adductors","pattern":"Hip hinge","equipment":"Barbell + plates","equipmentOptions":[["Barbell + plates"]],"optionalEquipment":[],"primaryFor":"Hip hinge","difficulty":"Main lift","notes":"Choose stance based on comfort and proportions.","rflOk":"Maybe","favourite":false,"updatedAt":"2026-07-19T15:45:00.000Z"},{"id":"EX070","name":"Trap-bar deadlift","muscle":"Quads / Glutes / Hamstrings","pattern":"Hip hinge","equipment":"Trap / hex bar + Barbell plates","equipmentOptions":[["Trap / hex bar","Barbell plates"]],"optionalEquipment":[],"primaryFor":"Hip hinge","difficulty":"Main lift","notes":"Often easier to keep the load close to the body.","rflOk":"Yes","favourite":false,"updatedAt":"2026-07-19T15:45:00.000Z"},{"id":"EX071","name":"Rack pull","muscle":"Glutes / Back","pattern":"Hip hinge","equipment":"Power rack / squat stands + Barbell + plates","equipmentOptions":[["Power rack / squat stands","Barbell + plates"]],"optionalEquipment":[],"primaryFor":"Hip hinge","difficulty":"Main lift","notes":"Use sparingly; high loading can be fatiguing.","rflOk":"Maybe","favourite":false,"updatedAt":"2026-07-19T15:45:00.000Z"},{"id":"EX072","name":"Good morning","muscle":"Hamstrings / Glutes","pattern":"Hip hinge","equipment":"Power rack / squat stands + Barbell + plates","equipmentOptions":[["Power rack / squat stands","Barbell + plates"]],"optionalEquipment":[],"primaryFor":"Hip hinge","difficulty":"Substitution","notes":"Light, controlled hinge; not a max-load movement.","rflOk":"Maybe","favourite":false,"updatedAt":"2026-07-19T15:45:00.000Z"},{"id":"EX073","name":"Kettlebell Romanian deadlift","muscle":"Hamstrings / Glutes","pattern":"Hip hinge","equipment":"Kettlebells","equipmentOptions":[["Kettlebells"]],"optionalEquipment":[],"primaryFor":"Hip hinge","difficulty":"Substitution","notes":"","rflOk":"Yes","favourite":false,"updatedAt":"2026-07-19T15:45:00.000Z"},{"id":"EX074","name":"Kettlebell swing","muscle":"Glutes / Conditioning","pattern":"Ballistic hinge","equipment":"Kettlebells","equipmentOptions":[["Kettlebells"]],"optionalEquipment":[],"primaryFor":"Conditioning","difficulty":"Conditioning","notes":"Use only with established hinge technique.","rflOk":"Maybe","favourite":false,"updatedAt":"2026-07-19T15:45:00.000Z"},{"id":"EX075","name":"Dumbbell hip thrust","muscle":"Glutes / Hamstrings","pattern":"Hip extension","equipment":"Dumbbells + Bench","equipmentOptions":[["Dumbbells","Bench"]],"optionalEquipment":[],"primaryFor":"Hip extension","difficulty":"Substitution","notes":"","rflOk":"Yes","favourite":false,"updatedAt":"2026-07-19T15:45:00.000Z"},{"id":"EX076","name":"Glute bridge","muscle":"Glutes / Hamstrings","pattern":"Hip extension","equipment":"Bodyweight / floor space","equipmentOptions":[["Bodyweight / floor space"]],"optionalEquipment":["Dumbbells","Barbell + plates","Resistance bands / tubes"],"primaryFor":"Hip extension","difficulty":"Substitution","notes":"","rflOk":"Yes","favourite":false,"updatedAt":"2026-07-19T15:45:00.000Z"},{"id":"EX077","name":"Seated leg curl","muscle":"Hamstrings","pattern":"Knee flexion","equipment":"Leg curl machine","equipmentOptions":[["Leg curl machine"]],"optionalEquipment":[],"primaryFor":"Knee flexion","difficulty":"Isolation","notes":"","rflOk":"Yes","favourite":false,"updatedAt":"2026-07-19T15:45:00.000Z"},{"id":"EX078","name":"Lying leg curl","muscle":"Hamstrings","pattern":"Knee flexion","equipment":"Leg curl machine","equipmentOptions":[["Leg curl machine"]],"optionalEquipment":[],"primaryFor":"Knee flexion","difficulty":"Isolation","notes":"","rflOk":"Yes","favourite":false,"updatedAt":"2026-07-19T15:45:00.000Z"},{"id":"EX079","name":"Banded leg curl","muscle":"Hamstrings","pattern":"Knee flexion","equipment":"Resistance bands / tubes + Secure band anchor","equipmentOptions":[["Resistance bands / tubes","Secure band anchor"]],"optionalEquipment":[],"primaryFor":"Knee flexion","difficulty":"Isolation","notes":"","rflOk":"Yes","favourite":false,"updatedAt":"2026-07-19T15:45:00.000Z"},{"id":"EX080","name":"Stability-ball leg curl","muscle":"Hamstrings / Glutes","pattern":"Knee flexion","equipment":"Stability ball","equipmentOptions":[["Stability ball"]],"optionalEquipment":[],"primaryFor":"Knee flexion","difficulty":"Substitution","notes":"","rflOk":"Yes","favourite":false,"updatedAt":"2026-07-19T15:45:00.000Z"},{"id":"EX081","name":"Nordic hamstring curl","muscle":"Hamstrings","pattern":"Knee flexion","equipment":"Glute-ham developer / Nordic bench","equipmentOptions":[["Glute-ham developer / Nordic bench"]],"optionalEquipment":[],"primaryFor":"Knee flexion","difficulty":"Advanced","notes":"Use assistance and a controlled eccentric.","rflOk":"Maybe","favourite":false,"updatedAt":"2026-07-19T15:45:00.000Z"},{"id":"EX082","name":"Glute-ham raise","muscle":"Hamstrings / Glutes","pattern":"Knee flexion","equipment":"Glute-ham developer / Nordic bench","equipmentOptions":[["Glute-ham developer / Nordic bench"]],"optionalEquipment":[],"primaryFor":"Knee flexion","difficulty":"Advanced","notes":"Scale range of motion as needed.","rflOk":"Maybe","favourite":false,"updatedAt":"2026-07-19T15:45:00.000Z"},{"id":"EX083","name":"Seated calf raise","muscle":"Soleus / Calves","pattern":"Calf raise","equipment":"Calf raise platform / machine OR Bench + Dumbbells","equipmentOptions":[["Calf raise platform / machine"],["Bench","Dumbbells"]],"optionalEquipment":[],"primaryFor":"Calf raise","difficulty":"Isolation","notes":"","rflOk":"Yes","favourite":false,"updatedAt":"2026-07-19T15:45:00.000Z"},{"id":"EX084","name":"Single-leg calf raise","muscle":"Calves","pattern":"Calf raise","equipment":"Bodyweight / floor space","equipmentOptions":[["Bodyweight / floor space"]],"optionalEquipment":["Dumbbells","Calf raise platform / machine"],"primaryFor":"Calf raise","difficulty":"Isolation","notes":"","rflOk":"Yes","favourite":false,"updatedAt":"2026-07-19T15:45:00.000Z"},{"id":"EX085","name":"Smith-machine bench press","muscle":"Chest / Triceps","pattern":"Horizontal press","equipment":"Smith machine + Bench","equipmentOptions":[["Smith machine","Bench"]],"optionalEquipment":[],"primaryFor":"Horizontal press","difficulty":"Main lift","notes":"","rflOk":"Yes","favourite":false,"updatedAt":"2026-07-19T15:45:00.000Z"},{"id":"EX086","name":"Chest press machine","muscle":"Chest / Triceps","pattern":"Horizontal press","equipment":"Chest press / pec deck machine","equipmentOptions":[["Chest press / pec deck machine"]],"optionalEquipment":[],"primaryFor":"Horizontal press","difficulty":"Main lift","notes":"","rflOk":"Yes","favourite":false,"updatedAt":"2026-07-19T15:45:00.000Z"},{"id":"EX087","name":"Dumbbell fly","muscle":"Chest","pattern":"Chest isolation","equipment":"Dumbbells + Bench","equipmentOptions":[["Dumbbells","Bench"]],"optionalEquipment":[],"primaryFor":"Chest","difficulty":"Isolation","notes":"Use a comfortable range; avoid excessive stretch.","rflOk":"Maybe","favourite":false,"updatedAt":"2026-07-19T15:45:00.000Z"},{"id":"EX088","name":"Pec deck fly","muscle":"Chest","pattern":"Chest isolation","equipment":"Chest press / pec deck machine","equipmentOptions":[["Chest press / pec deck machine"]],"optionalEquipment":[],"primaryFor":"Chest","difficulty":"Isolation","notes":"","rflOk":"Maybe","favourite":false,"updatedAt":"2026-07-19T15:45:00.000Z"},{"id":"EX089","name":"Landmine press","muscle":"Delts / Upper chest / Triceps","pattern":"Vertical press","equipment":"Barbell + plates + Landmine attachment","equipmentOptions":[["Barbell + plates","Landmine attachment"]],"optionalEquipment":[],"primaryFor":"Vertical press","difficulty":"Substitution","notes":"","rflOk":"Yes","favourite":false,"updatedAt":"2026-07-19T15:45:00.000Z"},{"id":"EX090","name":"Arnold press","muscle":"Delts / Triceps","pattern":"Vertical press","equipment":"Dumbbells + Bench","equipmentOptions":[["Dumbbells","Bench"]],"optionalEquipment":[],"primaryFor":"Vertical press","difficulty":"Substitution","notes":"","rflOk":"Yes","favourite":false,"updatedAt":"2026-07-19T15:45:00.000Z"},{"id":"EX091","name":"Dumbbell pullover","muscle":"Lats / Chest","pattern":"Pullover","equipment":"Dumbbells + Bench","equipmentOptions":[["Dumbbells","Bench"]],"optionalEquipment":[],"primaryFor":"Pullover","difficulty":"Substitution","notes":"","rflOk":"Yes","favourite":false,"updatedAt":"2026-07-19T15:45:00.000Z"},{"id":"EX092","name":"Landmine T-bar row","muscle":"Upper back / Lats","pattern":"Horizontal pull","equipment":"Barbell + plates + Landmine attachment","equipmentOptions":[["Barbell + plates","Landmine attachment"]],"optionalEquipment":[],"primaryFor":"Horizontal pull","difficulty":"Main lift","notes":"","rflOk":"Yes","favourite":false,"updatedAt":"2026-07-19T15:45:00.000Z"},{"id":"EX093","name":"Band row","muscle":"Upper back / Lats","pattern":"Horizontal pull","equipment":"Resistance bands / tubes + Secure band anchor","equipmentOptions":[["Resistance bands / tubes","Secure band anchor"]],"optionalEquipment":[],"primaryFor":"Horizontal pull","difficulty":"Substitution","notes":"","rflOk":"Yes","favourite":false,"updatedAt":"2026-07-19T15:45:00.000Z"},{"id":"EX094","name":"Band lat pulldown","muscle":"Lats","pattern":"Vertical pull","equipment":"Resistance bands / tubes + High band anchor","equipmentOptions":[["Resistance bands / tubes","High band anchor"]],"optionalEquipment":[],"primaryFor":"Vertical pull","difficulty":"Substitution","notes":"","rflOk":"Yes","favourite":false,"updatedAt":"2026-07-19T15:45:00.000Z"},{"id":"EX095","name":"Pull-up","muscle":"Lats / Biceps","pattern":"Vertical pull","equipment":"Pull-up bar","equipmentOptions":[["Pull-up bar"]],"optionalEquipment":["Resistance bands / tubes","Dip belt / loading belt"],"primaryFor":"Vertical pull","difficulty":"Main lift","notes":"","rflOk":"Yes","favourite":false,"updatedAt":"2026-07-19T15:45:00.000Z"},{"id":"EX096","name":"Band-assisted pull-up","muscle":"Lats / Biceps","pattern":"Vertical pull","equipment":"Pull-up bar + Resistance bands / tubes","equipmentOptions":[["Pull-up bar","Resistance bands / tubes"]],"optionalEquipment":[],"primaryFor":"Vertical pull","difficulty":"Substitution","notes":"","rflOk":"Yes","favourite":false,"updatedAt":"2026-07-19T15:45:00.000Z"},{"id":"EX097","name":"Dumbbell rear-delt fly","muscle":"Rear delts / Upper back","pattern":"Rear delt","equipment":"Dumbbells","equipmentOptions":[["Dumbbells"]],"optionalEquipment":[],"primaryFor":"Rear delt","difficulty":"Isolation","notes":"","rflOk":"Yes","favourite":false,"updatedAt":"2026-07-19T15:45:00.000Z"},{"id":"EX098","name":"Reverse pec deck","muscle":"Rear delts / Upper back","pattern":"Rear delt","equipment":"Chest press / pec deck machine","equipmentOptions":[["Chest press / pec deck machine"]],"optionalEquipment":[],"primaryFor":"Rear delt","difficulty":"Isolation","notes":"","rflOk":"Yes","favourite":false,"updatedAt":"2026-07-19T15:45:00.000Z"},{"id":"EX099","name":"Band face pull","muscle":"Rear delts / Upper back","pattern":"Rear delt / external rotation","equipment":"Resistance bands / tubes + High band anchor","equipmentOptions":[["Resistance bands / tubes","High band anchor"]],"optionalEquipment":[],"primaryFor":"Rear delt","difficulty":"Isolation","notes":"","rflOk":"Yes","favourite":false,"updatedAt":"2026-07-19T15:45:00.000Z"},{"id":"EX100","name":"Band lateral raise","muscle":"Side delts","pattern":"Lateral raise","equipment":"Resistance bands / tubes","equipmentOptions":[["Resistance bands / tubes"]],"optionalEquipment":[],"primaryFor":"Lateral raise","difficulty":"Isolation","notes":"","rflOk":"Yes","favourite":false,"updatedAt":"2026-07-19T15:45:00.000Z"},{"id":"EX101","name":"EZ-bar curl","muscle":"Biceps","pattern":"Elbow flexion","equipment":"EZ curl bar + Barbell plates","equipmentOptions":[["EZ curl bar","Barbell plates"]],"optionalEquipment":[],"primaryFor":"Elbow flexion","difficulty":"Isolation","notes":"","rflOk":"Yes","favourite":false,"updatedAt":"2026-07-19T15:45:00.000Z"},{"id":"EX102","name":"Preacher curl","muscle":"Biceps","pattern":"Elbow flexion","equipment":"Preacher curl bench + EZ curl bar + Barbell plates OR Preacher curl bench + Dumbbells","equipmentOptions":[["Preacher curl bench","EZ curl bar","Barbell plates"],["Preacher curl bench","Dumbbells"]],"optionalEquipment":[],"primaryFor":"Elbow flexion","difficulty":"Isolation","notes":"","rflOk":"Yes","favourite":false,"updatedAt":"2026-07-19T15:45:00.000Z"},{"id":"EX103","name":"Band curl","muscle":"Biceps","pattern":"Elbow flexion","equipment":"Resistance bands / tubes","equipmentOptions":[["Resistance bands / tubes"]],"optionalEquipment":[],"primaryFor":"Elbow flexion","difficulty":"Isolation","notes":"","rflOk":"Yes","favourite":false,"updatedAt":"2026-07-19T15:45:00.000Z"},{"id":"EX104","name":"EZ-bar skull crusher","muscle":"Triceps","pattern":"Elbow extension","equipment":"EZ curl bar + Barbell plates + Bench","equipmentOptions":[["EZ curl bar","Barbell plates","Bench"]],"optionalEquipment":[],"primaryFor":"Elbow extension","difficulty":"Isolation","notes":"","rflOk":"Yes","favourite":false,"updatedAt":"2026-07-19T15:45:00.000Z"},{"id":"EX105","name":"Band triceps pushdown","muscle":"Triceps","pattern":"Elbow extension","equipment":"Resistance bands / tubes + High band anchor","equipmentOptions":[["Resistance bands / tubes","High band anchor"]],"optionalEquipment":[],"primaryFor":"Elbow extension","difficulty":"Isolation","notes":"","rflOk":"Yes","favourite":false,"updatedAt":"2026-07-19T15:45:00.000Z"},{"id":"EX106","name":"Close-grip push-up","muscle":"Triceps / Chest","pattern":"Horizontal press","equipment":"Bodyweight / floor space","equipmentOptions":[["Bodyweight / floor space"]],"optionalEquipment":["Resistance bands / tubes","Weighted vest"],"primaryFor":"Horizontal press","difficulty":"Substitution","notes":"","rflOk":"Yes","favourite":false,"updatedAt":"2026-07-19T15:45:00.000Z"},{"id":"EX107","name":"Stability-ball crunch","muscle":"Abs","pattern":"Spinal flexion","equipment":"Stability ball","equipmentOptions":[["Stability ball"]],"optionalEquipment":[],"primaryFor":"Core","difficulty":"Isolation","notes":"","rflOk":"Yes","favourite":false,"updatedAt":"2026-07-19T15:45:00.000Z"},{"id":"EX108","name":"Reverse crunch","muscle":"Abs","pattern":"Spinal flexion","equipment":"Bodyweight / floor space","equipmentOptions":[["Bodyweight / floor space"]],"optionalEquipment":[],"primaryFor":"Core","difficulty":"Substitution","notes":"","rflOk":"Yes","favourite":false,"updatedAt":"2026-07-19T15:45:00.000Z"},{"id":"EX109","name":"Side plank","muscle":"Obliques / Core","pattern":"Anti-lateral flexion","equipment":"Bodyweight / floor space","equipmentOptions":[["Bodyweight / floor space"]],"optionalEquipment":[],"primaryFor":"Core","difficulty":"Substitution","notes":"","rflOk":"Yes","favourite":false,"updatedAt":"2026-07-19T15:45:00.000Z"},{"id":"EX110","name":"Farmer carry","muscle":"Grip / Traps / Core","pattern":"Loaded carry","equipment":"Dumbbells OR Kettlebells","equipmentOptions":[["Dumbbells"],["Kettlebells"]],"optionalEquipment":[],"primaryFor":"Loaded carry","difficulty":"Substitution","notes":"","rflOk":"Maybe","favourite":false,"updatedAt":"2026-07-19T15:45:00.000Z"},{"id":"EX111","name":"Suitcase carry","muscle":"Core / Grip","pattern":"Loaded carry","equipment":"Dumbbells OR Kettlebells","equipmentOptions":[["Dumbbells"],["Kettlebells"]],"optionalEquipment":[],"primaryFor":"Loaded carry","difficulty":"Substitution","notes":"","rflOk":"Maybe","favourite":false,"updatedAt":"2026-07-19T15:45:00.000Z"},{"id":"EX112","name":"Trap-bar carry","muscle":"Grip / Traps / Core","pattern":"Loaded carry","equipment":"Trap / hex bar + Barbell plates","equipmentOptions":[["Trap / hex bar","Barbell plates"]],"optionalEquipment":[],"primaryFor":"Loaded carry","difficulty":"Substitution","notes":"","rflOk":"Maybe","favourite":false,"updatedAt":"2026-07-19T15:45:00.000Z"},{"id":"EX113","name":"Rowing machine","muscle":"Cardio / Recovery","pattern":"Aerobic","equipment":"Rowing machine","equipmentOptions":[["Rowing machine"]],"optionalEquipment":[],"primaryFor":"Cardio","difficulty":"Conditioning","notes":"","rflOk":"Maybe","favourite":false,"updatedAt":"2026-07-19T15:45:00.000Z"},{"id":"EX114","name":"Elliptical","muscle":"Cardio / Recovery","pattern":"Aerobic","equipment":"Elliptical / cross trainer","equipmentOptions":[["Elliptical / cross trainer"]],"optionalEquipment":[],"primaryFor":"Cardio","difficulty":"Conditioning","notes":"","rflOk":"Yes","favourite":false,"updatedAt":"2026-07-19T15:45:00.000Z"},{"id":"EX115","name":"Jump rope","muscle":"Cardio / Calves","pattern":"Conditioning","equipment":"Jump rope","equipmentOptions":[["Jump rope"]],"optionalEquipment":[],"primaryFor":"Conditioning","difficulty":"Conditioning","notes":"","rflOk":"Maybe","favourite":false,"updatedAt":"2026-07-19T15:45:00.000Z"},{"id":"EX116","name":"Sled push","muscle":"Quads / Conditioning","pattern":"Conditioning","equipment":"Weight sled / prowler","equipmentOptions":[["Weight sled / prowler"]],"optionalEquipment":[],"primaryFor":"Conditioning","difficulty":"Conditioning","notes":"","rflOk":"Maybe","favourite":false,"updatedAt":"2026-07-19T15:45:00.000Z"},{"id":"EX117","name":"Medicine-ball slam","muscle":"Full body / Conditioning","pattern":"Conditioning","equipment":"Medicine ball","equipmentOptions":[["Medicine ball"]],"optionalEquipment":[],"primaryFor":"Conditioning","difficulty":"Conditioning","notes":"","rflOk":"Maybe","favourite":false,"updatedAt":"2026-07-19T15:45:00.000Z"},{"id":"EX118","name":"Sandbag carry","muscle":"Full body / Grip","pattern":"Loaded carry","equipment":"Sandbag","equipmentOptions":[["Sandbag"]],"optionalEquipment":[],"primaryFor":"Loaded carry","difficulty":"Conditioning","notes":"","rflOk":"Maybe","favourite":false,"updatedAt":"2026-07-19T15:45:00.000Z"},{"id":"EX119","name":"Kettlebell goblet squat","muscle":"Quads / Glutes","pattern":"Squat","equipment":"Kettlebells","equipmentOptions":[["Kettlebells"]],"optionalEquipment":[],"primaryFor":"Squat","difficulty":"Substitution","notes":"","rflOk":"Yes","favourite":false,"updatedAt":"2026-07-19T15:45:00.000Z"},{"id":"EX120","name":"Slant-board squat","muscle":"Quads","pattern":"Squat","equipment":"Slant board / heel wedge","equipmentOptions":[["Slant board / heel wedge"]],"optionalEquipment":["Dumbbells","Kettlebells","Weighted vest"],"primaryFor":"Squat","difficulty":"Substitution","notes":"","rflOk":"Yes","favourite":false,"updatedAt":"2026-07-19T15:45:00.000Z"},{"id":"EX121","name":"Smith-machine hip thrust","muscle":"Glutes / Hamstrings","pattern":"Hip extension","equipment":"Smith machine + Bench","equipmentOptions":[["Smith machine","Bench"]],"optionalEquipment":[],"primaryFor":"Hip extension","difficulty":"Main lift","notes":"","rflOk":"Yes","favourite":false,"updatedAt":"2026-07-19T15:45:00.000Z"},{"id":"EX122","name":"Swiss-bar bench press","muscle":"Chest / Triceps","pattern":"Horizontal press","equipment":"Power rack / squat stands + Swiss / football bar + Barbell plates + Bench","equipmentOptions":[["Power rack / squat stands","Swiss / football bar","Barbell plates","Bench"]],"optionalEquipment":[],"primaryFor":"Horizontal press","difficulty":"Main lift","notes":"Neutral grips may be shoulder friendly.","rflOk":"Yes","favourite":false,"updatedAt":"2026-07-19T15:45:00.000Z"},{"id":"EX123","name":"Band Pallof press","muscle":"Core","pattern":"Anti-rotation","equipment":"Resistance bands / tubes + Secure band anchor","equipmentOptions":[["Resistance bands / tubes","Secure band anchor"]],"optionalEquipment":[],"primaryFor":"Core","difficulty":"Substitution","notes":"","rflOk":"Yes","favourite":false,"updatedAt":"2026-07-19T15:45:00.000Z"},{"id":"EX124","name":"Dead bug or Pallof press","muscle":"Core","pattern":"Anti-extension / anti-rotation","equipment":"Bodyweight / floor space OR Cable station OR Resistance bands / tubes + Secure band anchor","equipmentOptions":[["Bodyweight / floor space"],["Cable station"],["Resistance bands / tubes","Secure band anchor"]],"optionalEquipment":[],"primaryFor":"Core","difficulty":"Substitution","notes":"","rflOk":"Yes","favourite":false,"updatedAt":"2026-07-19T15:45:00.000Z"},{"id":"EX125","name":"Cable lat pulldown or ring chin-up","muscle":"Lats / Biceps","pattern":"Vertical pull","equipment":"Cable station OR Lat pulldown / low row machine OR Gymnastic rings / suspension trainer","equipmentOptions":[["Cable station"],["Lat pulldown / low row machine"],["Gymnastic rings / suspension trainer"]],"optionalEquipment":[],"primaryFor":"Vertical pull","difficulty":"Substitution","notes":"","rflOk":"Yes","favourite":false,"updatedAt":"2026-07-19T15:45:00.000Z"},{"id":"EX126","name":"Incline dumbbell or cable curl","muscle":"Biceps","pattern":"Elbow flexion","equipment":"Dumbbells + Adjustable bench OR Cable station","equipmentOptions":[["Dumbbells","Adjustable bench"],["Cable station"]],"optionalEquipment":[],"primaryFor":"Elbow flexion","difficulty":"Isolation","notes":"","rflOk":"Yes","favourite":false,"updatedAt":"2026-07-19T15:45:00.000Z"},{"id":"EX127","name":"Front squat or heels-elevated squat","muscle":"Quads / Glutes","pattern":"Squat","equipment":"Power rack / squat stands + Barbell + plates OR Dumbbells","equipmentOptions":[["Power rack / squat stands","Barbell + plates"],["Dumbbells"]],"optionalEquipment":["Slant board / heel wedge"],"primaryFor":"Squat","difficulty":"Main lift","notes":"","rflOk":"Yes","favourite":false,"updatedAt":"2026-07-19T15:45:00.000Z"},{"id":"EX128","name":"Ab wheel or cable crunch","muscle":"Abs / Core","pattern":"Core","equipment":"Ab wheel OR Cable station","equipmentOptions":[["Ab wheel"],["Cable station"]],"optionalEquipment":[],"primaryFor":"Core","difficulty":"Substitution","notes":"","rflOk":"Yes","favourite":false,"updatedAt":"2026-07-19T15:45:00.000Z"},{"id":"EX129","name":"Weighted chin-up or heavy pulldown","muscle":"Lats / Biceps","pattern":"Vertical pull",</x:v>
      </x:c>
      <x:c r="C3" s="72" t="n">
        <x:v>0</x:v>
      </x:c>
      <x:c r="D3" s="102" t="n">
        <x:v>46222.65625</x:v>
      </x:c>
      <x:c r="E3" s="72" t="str">
        <x:v>template</x:v>
      </x:c>
      <x:c r="F3" s="72" t="str">
        <x:v>v2.2 template</x:v>
      </x:c>
      <x:c r="G3" s="73" t="str"/>
    </x:row>
    <x:row r="4">
      <x:c r="A4" s="71" t="n">
        <x:v>3</x:v>
      </x:c>
      <x:c r="B4" s="72" t="str">
        <x:v>"equipment":"Pull-up bar + Dip belt / loading belt OR Cable station OR Lat pulldown / low row machine","equipmentOptions":[["Pull-up bar","Dip belt / loading belt"],["Cable station"],["Lat pulldown / low row machine"]],"optionalEquipment":[],"primaryFor":"Vertical pull","difficulty":"Main lift","notes":"","rflOk":"Yes","favourite":false,"updatedAt":"2026-07-19T15:45:00.000Z"},{"id":"EX130","name":"Close-grip bench press or weighted ring push-up","muscle":"Triceps / Chest","pattern":"Horizontal press","equipment":"Power rack / squat stands + Barbell + plates + Bench OR Gymnastic rings / suspension trainer","equipmentOptions":[["Power rack / squat stands","Barbell + plates","Bench"],["Gymnastic rings / suspension trainer"]],"optionalEquipment":[],"primaryFor":"Horizontal press","difficulty":"Substitution","notes":"","rflOk":"Yes","favourite":false,"updatedAt":"2026-07-19T15:45:00.000Z"},{"id":"EX131","name":"Cable rear-delt fly or face pull","muscle":"Rear delts / Upper back","pattern":"Rear delt","equipment":"Cable station OR Cable station + Rope cable attachment","equipmentOptions":[["Cable station"],["Cable station","Rope cable attachment"]],"optionalEquipment":[],"primaryFor":"Rear delt","difficulty":"Isolation","notes":"","rflOk":"Yes","favourite":false,"updatedAt":"2026-07-19T15:45:00.000Z"},{"id":"EX132","name":"Romanian deadlift or hip thrust","muscle":"Hamstrings / Glutes","pattern":"Hip hinge / extension","equipment":"Barbell + plates OR Dumbbells OR Kettlebells OR Barbell + plates + Bench OR Smith machine + Bench","equipmentOptions":[["Barbell + plates"],["Dumbbells"],["Kettlebells"],["Barbell + plates","Bench"],["Smith machine","Bench"]],"optionalEquipment":[],"primaryFor":"Hip hinge","difficulty":"Main lift","notes":"","rflOk":"Yes","favourite":false,"updatedAt":"2026-07-19T15:45:00.000Z"},{"id":"EX133","name":"Front squat or Bulgarian split squat","muscle":"Quads / Glutes","pattern":"Squat / single-leg","equipment":"Power rack / squat stands + Barbell + plates OR Bench or box","equipmentOptions":[["Power rack / squat stands","Barbell + plates"],["Bench or box"]],"optionalEquipment":["Dumbbells"],"primaryFor":"Squat","difficulty":"Main lift","notes":"","rflOk":"Yes","favourite":false,"updatedAt":"2026-07-19T15:45:00.000Z"},{"id":"EX134","name":"Pulldown or chin-up","muscle":"Lats / Biceps","pattern":"Vertical pull","equipment":"Cable station OR Lat pulldown / low row machine OR Pull-up bar OR Gymnastic rings / suspension trainer","equipmentOptions":[["Cable station"],["Lat pulldown / low row machine"],["Pull-up bar"],["Gymnastic rings / suspension trainer"]],"optionalEquipment":[],"primaryFor":"Vertical pull","difficulty":"Substitution","notes":"","rflOk":"Yes","favourite":false,"updatedAt":"2026-07-19T15:45:00.000Z"},{"id":"EX135","name":"Hip thrust or cable leg curl","muscle":"Glutes / Hamstrings","pattern":"Hip extension / knee flexion","equipment":"Barbell + plates + Bench OR Smith machine + Bench OR Cable station + Ankle strap OR Leg curl machine","equipmentOptions":[["Barbell + plates","Bench"],["Smith machine","Bench"],["Cable station","Ankle strap"],["Leg curl machine"]],"optionalEquipment":[],"primaryFor":"Hip extension","difficulty":"Substitution","notes":"","rflOk":"Yes","favourite":false,"updatedAt":"2026-07-19T15:45:00.000Z"},{"id":"EX136","name":"Hammer curl","muscle":"Biceps / Brachialis","pattern":"Elbow flexion","equipment":"Dumbbells OR Cable station OR Resistance bands / tubes","equipmentOptions":[["Dumbbells"],["Cable station"],["Resistance bands / tubes"]],"optionalEquipment":[],"primaryFor":"Elbow flexion","difficulty":"Isolation","notes":"","rflOk":"Yes","favourite":false,"updatedAt":"2026-07-19T15:45:00.000Z"},{"id":"EX137","name":"Overhead triceps extension","muscle":"Triceps long head","pattern":"Elbow extension","equipment":"Cable station + Rope cable attachment OR Dumbbells OR EZ curl bar + Barbell plates + Bench OR Resistance bands / tubes + High band anchor","equipmentOptions":[["Cable station","Rope cable attachment"],["Dumbbells"],["EZ curl bar","Barbell plates","Bench"],["Resistance bands / tubes","High band anchor"]],"optionalEquipment":[],"primaryFor":"Elbow extension","difficulty":"Isolation","notes":"","rflOk":"Yes","favourite":false,"updatedAt":"2026-07-19T15:45:00.000Z"}],"alternatives":[{"defaultExercise":"High-bar back squat","alternative":"Front squat","reason":"Back feels taxed","notes":"More upright torso.","id":"ALT001","updatedAt":"2026-07-19T10:00:00.000Z"},{"defaultExercise":"High-bar back squat","alternative":"Heels-elevated squat","reason":"Need more quad bias","notes":"Can use dumbbells or barbell.","id":"ALT002","updatedAt":"2026-07-19T10:00:00.000Z"},{"defaultExercise":"High-bar back squat","alternative":"Box squat","reason":"Need controlled depth","notes":"Use safety pins and a stable box.","id":"ALT003","updatedAt":"2026-07-19T10:00:00.000Z"},{"defaultExercise":"High-bar back squat","alternative":"Goblet squat","reason":"Deload or warm-up","notes":"Lower loading.","id":"ALT004","updatedAt":"2026-07-19T10:00:00.000Z"},{"defaultExercise":"Front squat or heels-elevated squat","alternative":"High-bar back squat","reason":"Front rack uncomfortable","notes":"Return to standard squat if back tolerates it.","id":"ALT005","updatedAt":"2026-07-19T10:00:00.000Z"},{"defaultExercise":"Front squat or heels-elevated squat","alternative":"Bulgarian split squat","reason":"Back-sensitive day","notes":"Hard leg stimulus with less spinal loading.","id":"ALT006","updatedAt":"2026-07-19T10:00:00.000Z"},{"defaultExercise":"Romanian deadlift","alternative":"Barbell hip thrust","reason":"Lower back discomfort","notes":"Default replacement.","id":"ALT007","updatedAt":"2026-07-19T10:00:00.000Z"},{"defaultExercise":"Romanian deadlift","alternative":"Cable pull-through","reason":"Lower back discomfort","notes":"Cable hinge pattern.","id":"ALT008","updatedAt":"2026-07-19T10:00:00.000Z"},{"defaultExercise":"Romanian deadlift","alternative":"Dumbbell Romanian deadlift","reason":"Technique practice","notes":"Smaller load increments.","id":"ALT009","updatedAt":"2026-07-19T10:00:00.000Z"},{"defaultExercise":"Romanian deadlift or hip thrust","alternative":"Barbell hip thrust","reason":"RFL fatigue","notes":"Back-friendly option.","id":"ALT010","updatedAt":"2026-07-19T10:00:00.000Z"},{"defaultExercise":"Romanian deadlift or hip thrust","alternative":"Cable pull-through","reason":"Back-sensitive day","notes":"Keep RIR 2-3.","id":"ALT011","updatedAt":"2026-07-19T10:00:00.000Z"},{"defaultExercise":"Barbell hip thrust","alternative":"Cable pull-through","reason":"Bench setup unavailable","notes":"Good cable substitute.","id":"ALT012","updatedAt":"2026-07-19T10:00:00.000Z"},{"defaultExercise":"Barbell bench press","alternative":"Dumbbell bench press","reason":"Shoulder comfort","notes":"Greater freedom of movement.","id":"ALT013","updatedAt":"2026-07-19T10:00:00.000Z"},{"defaultExercise":"Barbell bench press","alternative":"Floor press","reason":"Shoulder range limitation","notes":"Reduced bottom range.","id":"ALT014","updatedAt":"2026-07-19T10:00:00.000Z"},{"defaultExercise":"Barbell bench press","alternative":"Weighted ring push-up","reason":"Want shoulder-friendly press","notes":"Progress with load/body angle.","id":"ALT015","updatedAt":"2026-07-19T10:00:00.000Z"},{"defaultExercise":"Incline dumbbell press","alternative":"Dumbbell bench press","reason":"Incline setup unavailable","notes":"Flat press substitute.","id":"ALT016","updatedAt":"2026-07-19T10:00:00.000Z"},{"defaultExercise":"Incline dumbbell or seated dumbbell press","alternative":"Seated dumbbell overhead press","reason":"Prefer vertical press","notes":"RFL press slot.","id":"ALT017","updatedAt":"2026-07-19T10:00:00.000Z"},{"defaultExercise":"Incline dumbbell or seated dumbbell press","alternative":"Incline dumbbell press","reason":"Prefer chest emphasis","notes":"RFL press slot.","id":"ALT018","updatedAt":"2026-07-19T10:00:00.000Z"},{"defaultExercise":"Chest-supported dumbbell row","alternative":"Seated cable row","reason":"Bench unavailable","notes":"Stable cable row.","id":"ALT019","updatedAt":"2026-07-19T10:00:00.000Z"},{"defaultExercise":"Chest-supported dumbbell row","alternative":"One-arm cable row","reason":"Need unilateral work","notes":"Control torso.","id":"ALT020","updatedAt":"2026-07-19T10:00:00.000Z"},{"defaultExercise":"Chest-supported dumbbell row","alternative":"Inverted row","reason":"No dumbbell setup","notes":"Bodyweight row.","id":"ALT021","updatedAt":"2026-07-19T10:00:00.000Z"},{"defaultExercise":"One-arm cable row","alternative":"Seated cable row","reason":"Want bilateral row","notes":"Use cable station.","id":"ALT022","updatedAt":"2026-07-19T10:00:00.000Z"},{"defaultExercise":"Weighted chin-up or heavy pulldown","alternative":"Cable lat pulldown","reason":"Chin-ups not ready","notes":"Progress load on cable.","id":"ALT023","updatedAt":"2026-07-19T10:00:00.000Z"},{"defaultExercise":"Weighted chin-up or heavy pulldown","alternative":"Weighted chin-up","reason":"Strong chin-ups","notes":"Use clean reps only.","id":"ALT024","updatedAt":"2026-07-19T10:00:00.000Z"},{"defaultExercise":"Cable lat pulldown or ring chin-up","alternative":"Cable lat pulldown","reason":"Need stable load","notes":"Good progression.","id":"ALT025","updatedAt":"2026-07-19T10:00:00.000Z"},{"defaultExercise":"Cable lat pulldown or ring chin-up","alternative":"Ring chin-up","reason":"Want bodyweight progression","notes":"Use assistance as required.","id":"ALT026","updatedAt":"2026-07-19T10:00:00.000Z"},{"defaultExercise":"Pulldown or chin-up","alternative":"Cable lat pulldown","reason":"RFL fatigue","notes":"Easy load control.","id":"ALT027","updatedAt":"2026-07-19T10:00:00.000Z"},{"defaultExercise":"Pulldown or chin-up","alternative":"Ring chin-up","reason":"Bodyweight option","notes":"Keep 2-3 RIR in RFL.","id":"ALT028","updatedAt":"2026-07-19T10:00:00.000Z"},{"defaultExercise":"Seated dumbbell overhead press","alternative":"Incline dumbbell press","reason":"Shoulder irritation","notes":"Use pain-free angle.","id":"ALT029","updatedAt":"2026-07-19T10:00:00.000Z"},{"defaultExercise":"Seated dumbbell overhead press","alternative":"Standing overhead press","reason":"Want barbell progression","notes":"Only if lower back feels stable.","id":"ALT030","updatedAt":"2026-07-19T10:00:00.000Z"},{"defaultExercise":"Cable lateral raise","alternative":"Dumbbell lateral raise","reason":"Cable unavailable","notes":"Keep strict and controlled.","id":"ALT031","updatedAt":"2026-07-19T10:00:00.000Z"},{"defaultExercise":"Cable lateral raise","alternative":"Lean-away cable lateral raise","reason":"Need different line of pull","notes":"Stay light.","id":"ALT032","updatedAt":"2026-07-19T10:00:00.000Z"},{"defaultExercise":"Cable rear-delt fly or face pull","alternative":"Cable rear-delt fly","reason":"Rear delt emphasis","notes":"Strict reps.","id":"ALT033","updatedAt":"2026-07-19T10:00:00.000Z"},{"defaultExercise":"Cable rear-delt fly or face pull","alternative":"Face pull","reason":"Shoulder-health emphasis","notes":"Use rope attachment.","id":"ALT034","updatedAt":"2026-07-19T10:00:00.000Z"},{"defaultExercise":"Rear-delt cable fly","alternative":"Face pull","reason":"Shoulder-friendly substitute","notes":"Keep elbows high.","id":"ALT035","updatedAt":"2026-07-19T10:00:00.000Z"},{"defaultExercise":"Cable triceps pushdown","alternative":"Overhead cable triceps extension","reason":"Need long-head work","notes":"Use pain-free elbow path.","id":"ALT036","updatedAt":"2026-07-19T10:00:00.000Z"},{"defaultExercise":"Overhead cable triceps extension","alternative":"Cable triceps pushdown","reason":"Elbow discomfort","notes":"Often more comfortable.","id":"ALT037","updatedAt":"2026-07-19T10:00:00.000Z"},{"defaultExercise":"Incline dumbbell or cable curl","alternative":"Cable curl","reason":"Elbow-friendly tension","notes":"Good default.","id":"ALT038","updatedAt":"2026-07-19T10:00:00.000Z"},{"defaultExercise":"Incline dumbbell or cable curl","alternative":"Incline dumbbell curl","reason":"Stretch emphasis","notes":"Use controlled range.","id":"ALT039","updatedAt":"2026-07-19T10:00:00.000Z"},{"defaultExercise":"Dumbbell hammer curl","alternative":"Cable curl","reason":"Elbow discomfort","notes":"Cable may feel smoother.","id":"ALT040","updatedAt":"2026-07-19T10:00:00.000Z"},{"defaultExercise":"Dead bug or Pallof press","alternative":"Dead bug","reason":"No cable needed","notes":"Low fatigue core.","id":"ALT041","updatedAt":"2026-07-19T10:00:00.000Z"},{"defaultExercise":"Dead bug or Pallof press","alternative":"Pallof press","reason":"Anti-rotation focus","notes":"Cable setup.","id":"ALT042","updatedAt":"2026-07-19T10:00:00.000Z"},{"defaultExercise":"Ab wheel or cable crunch","alternative":"Cable crunch","reason":"Lower back sensitivity","notes":"Easier to control.","id":"ALT043","updatedAt":"2026-07-19T10:00:00.000Z"},{"defaultExercise":"Ab wheel or cable crunch","alternative":"Dead bug","reason":"Fatigued RFL day","notes":"Lowest-risk option.","id":"ALT044","updatedAt":"2026-07-19T10:00:00.000Z"},{"id":"ALT045","defaultExercise":"High-bar back squat","alternative":"Safety-bar squat","reason":"Equipment match","notes":"Equipment-compatible option.","updatedAt":"2026-07-19T15:45:00.000Z"},{"id":"ALT046","defaultExercise":"High-bar back squat","alternative":"Smith-machine squat","reason":"Equipment match","notes":"Equipment-compatible option.","updatedAt":"2026-07-19T15:45:00.000Z"},{"id":"ALT047","defaultExercise":"High-bar back squat","alternative":"Landmine squat","reason":"Equipment match","notes":"Equipment-compatible option.","updatedAt":"2026-07-19T15:45:00.000Z"},{"id":"ALT048","defaultExercise":"High-bar back squat","alternative":"Leg press","reason":"Equipment match","notes":"Equipment-compatible option.","updatedAt":"2026-07-19T15:45:00.000Z"},{"id":"ALT049","defaultExercise":"High-bar back squat","alternative":"Hack squat","reason":"Equipment match","notes":"Equipment-compatible option.","updatedAt":"2026-07-19T15:45:00.000Z"},{"id":"ALT050","defaultExercise":"High-bar back squat","alternative":"Kettlebell goblet squat","reason":"Equipment match","notes":"Equipment-compatible option.","updatedAt":"2026-07-19T15:45:00.000Z"},{"id":"ALT051","defaultExercise":"High-bar back squat","alternative":"Bodyweight split squat","reason":"Equipment match","notes":"Equipment-compatible option.","updatedAt":"2026-07-19T15:45:00.000Z"},{"id":"ALT052","defaultExercise":"Front squat or heels-elevated squat","alternative":"Front squat","reason":"Equipment match","notes":"Equipment-compatible option.","updatedAt":"2026-07-19T15:45:00.000Z"},{"id":"ALT053","defaultExercise":"Front squat or heels-elevated squat","alternative":"Goblet squat","reason":"Equipment match","notes":"Equipment-compatible option.","updatedAt":"2026-07-19T15:45:00.000Z"},{"id":"ALT054","defaultExercise":"Front squat or heels-elevated squat","alternative":"Landmine squat","reason":"Equipment match","notes":"Equipment-compatible option.","updatedAt":"2026-07-19T15:45:00.000Z"},{"id":"ALT055","defaultExercise":"Front squat or heels-elevated squat","alternative":"Leg press","reason":"Equipment match","notes":"Equipment-compatible option.","updatedAt":"2026-07-19T15:45:00.000Z"},{"id":"ALT056","defaultExercise":"Front squat or heels-elevated squat","alternative":"Hack squat","reason":"Equipment match","notes":"Equipment-compatible option.","updatedAt":"2026-07-19T15:45:00.000Z"},{"id":"ALT057","defaultExercise":"Front squat or heels-elevated squat","alternative":"Smith-machine squat","reason":"Equipment match","notes":"Equipment-compatible option.","updatedAt":"2026-07-19T15:45:00.000Z"},{"id":"ALT058","defaultExercise":"Front squat or heels-elevated squat","alternative":"Slant-board squat","reason":"Equipment match","notes":"Equipment-compatible option.","updatedAt":"2026-07-19T15:45:00.000Z"},{"id":"ALT059","defaultExercise":"Front squat or Bulgarian split squat","alternative":"Front squat","reason":"Equipment match","notes":"Equipment-compatible option.","updatedAt":"2026-07-19T15:45:00.000Z"},{"id":"ALT060","defaultExercise":"Front squat or Bulgarian split squat","alternative":"Bulgarian split squat","reason":"Equipment match","notes":"Equipment-compatible option.","updatedAt":"2026-07-19T15:45:00.000Z"},{"id":"ALT061","defaultExercise":"Front squat or Bulgarian split squat","alternative":"Goblet squat","reason":"Equipment match","notes":"Equipment-compatible option.","updatedAt":"2026-07-19T15:45:00.000Z"},{"id":"ALT062","defaultExercise":"Front squat or Bulgarian split squat","alternative":"Leg press","reason":"Equipment match","notes":"Equipment-compatible option.","updatedAt":"2026-07-19T15:45:00.000Z"},{"id":"ALT063","defaultExercise":"Front squat or Bulgarian split squat","alternative":"Hack squat","reason":"Equipment match","notes":"Equipment-compatible option.","updatedAt":"2026-07-19T15:45:00.000Z"},{"id":"ALT064","defaultExercise":"Front squat or Bulgarian split squat","alternative":"Bodyweight split squat","reason":"Equipment match","notes":"Equipment-compatible option.","updatedAt":"2026-07-19T15:45:00.000Z"},{"id":"ALT065","defaultExercise":"Romanian deadlift","alternative":"Kettlebell Romanian deadlift","reason":"Equipment match","notes":"Equipment-compatible option.","updatedAt":"2026-07-19T15:45:00.000Z"},{"id":"ALT066","defaultExercise":"Romanian deadlift","alternative":"Trap-bar deadlift","reason":"Equipment match","notes":"Equipment-compatible option.","updatedAt":"2026-07-19T15:45:00.000Z"},{"id":"ALT067","defaultExercise":"Romanian deadlift","alternative":"Stability-ball leg curl","reason":"Equipment match","notes":"Equipment-compatible option.","updatedAt":"2026-07-19T15:45:00.000Z"},{"id":"ALT068","defaultExercise":"Romanian deadlift or hip thrust","alternative":"Romanian deadlift","reason":"Equipment match","notes":"Equipment-compatible option.","updatedAt":"2026-07-19T15:45:00.000Z"},{"id":"ALT069","defaultExercise":"Romanian deadlift or hip thrust","alternative":"Dumbbell Romanian deadlift","reason":"Equipment match","notes":"Equipment-compatible option.","updatedAt":"2026-07-19T15:45:00.000Z"},{"id":"ALT070","defaultExercise":"Romanian deadlift or hip thrust","alternative":"Dumbbell hip thrust","reason":"Equipment match","notes":"Equipment-compatible option.","updatedAt":"2026-07-19T15:45:00.000Z"},{"id":"ALT071","defaultExercise":"Romanian deadlift or hip thrust","alternative":"Smith-machine hip thrust","reason":"Equipment match","notes":"Equipment-compatible option.","updatedAt":"2026-07-19T15:45:00.000Z"},{"id":"ALT072","defaultExercise":"Romanian deadlift or hip thrust","alternative":"Glute bridge","reason":"Equipment match","notes":"Equipment-compatible option.","updatedAt":"2026-07-19T15:45:00.000Z"},{"id":"ALT073","defaultExercise":"Barbell hip thrust","alternative":"Dumbbell hip thrust","reason":"Equipment match","notes":"Equipment-compatible option.","updatedAt":"2026-07-19T15:45:00.000Z"},{"id":"ALT074","defaultExercise":"Barbell hip thrust","alternative":"Smith-machine hip thrust","reason":"Equipment match","notes":"Equipment-compatible option.","updatedAt":"2026-07-19T15:45:00.000Z"},{"id":"ALT075","defaultExercise":"Barbell hip thrust","alternative":"Glute bridge","reason":"Equipment match","notes":"Equipment-compatible option.","updatedAt":"2026-07-19T15:45:00.000Z"},{"id":"ALT076","defaultExercise":"Hip thrust or cable leg curl","alternative":"Barbell hip thrust","reason":"Equipment match","notes":"Equipment-compatible option.","updatedAt":"2026-07-19T15:45:00.000Z"},{"id":"ALT077","defaultExercise":"Hip thrust or cable leg curl","alternative":"Dumbbell hip thrust","reason":"Equipment match","notes":"Equipment-compatible option.","updatedAt":"2026-07-19T15:45:00.000Z"},{"id":"ALT078","defaultExercise":"Hip thrust or cable leg curl","alternative":"Smith-machine hip thrust","reason":"Equipment match","notes":"Equipment-compatible option.","updatedAt":"2026-07-19T15:45:00.000Z"},{"id":"ALT079","defaultExercise":"Hip thrust or cable leg curl","alternative":"Cable leg curl","reason":"Equipment match","notes":"Equipment-compatible option.","updatedAt":"2026-07-19T15:45:00.000Z"},{"id":"ALT080","defaultExercise":"Hip thrust or cable leg curl","alternative":"Seated leg curl","reason":"Equipment match","notes":"Equipment-compatible option.","updatedAt":"2026-07-19T15:45:00.000Z"},{"id":"ALT081","defaultExercise":"Hip thrust or cable leg curl","alternative":"Lying leg curl","reason":"Equipment match","notes":"Equipment-compatible option.","updatedAt":"2026-07-19T15:45:00.000Z"},{"id":"ALT082","defaultExercise":"Hip thrust or cable leg curl","alternative":"Banded leg curl","reason":"Equipment match","notes":"Equipment-compatible option.","updatedAt":"2026-07-19T15:45:00.000Z"},{"id":"ALT083","defaultExercise":"Hip thrust or cable leg curl","alternative":"Stability-ball leg curl","reason":"Equipment match","notes":"Equipment-compatible option.","updatedAt":"2026-07-19T15:45:00.000Z"},{"id":"ALT084","defaultExercise":"Bulgarian split squat","alternative":"Reverse lunge","reason":"Equipment match","notes":"Equipment-compatible option.","updatedAt":"2026-07-19T15:45:00.000Z"},{"id":"ALT085","defaultExercise":"Bulgarian split squat","alternative":"Step-up","reason":"Equipment match","notes":"Equipment-compatible option.","updatedAt":"2026-07-19T15:45:00.000Z"},{"id":"ALT086","defaultExercise":"Bulgarian split squat","alternative":"Walking lunge","reason":"Equipment match","notes":"Equipment-compatible option.","updatedAt":"2026-07-19T15:45:00.000Z"},{"id":"ALT087","defaultExercise":"Bulgarian split squat","alternative":"Bodyweight split squat","reason":"Equipment match","notes":"Equipment-compatible option.","updatedAt":"2026-07-19T15:45:00.000Z"},{"id":"ALT088","defaultExercise":"Bulgarian split squat","alternative":"Leg press","reason":"Equipment match","notes":"Equipment-compatible option.","updatedAt":"2026-07-19T15:45:00.000Z"},{"id":"ALT089","defaultExercise":"Cable leg curl","alternative":"Seated leg curl","reason":"Equipment match","notes":"Equipment-compatible option.","updatedAt":"2026-07-19T15:45:00.000Z"},{"id":"ALT090","defaultExercise":"Cable leg curl","alternative":"Lying leg curl","reason":"Equipment match","notes":"Equipment-compatible option.","updatedAt":"2026-07-19T15:45:00.000Z"},{"id":"ALT091","defaultExercise":"Cable leg curl","alternative":"Banded leg curl","reason":"Equipment match","notes":"Equipment-compatible option.","updatedAt":"2026-07-19T15:45:00.000Z"},{"id":"ALT092","defaultExercise":"Cable leg curl","alternative":"Stability-ball leg curl","reason":"Equipment match","notes":"Equipment-compatible option.","updatedAt":"2026-07-19T15:45:00.000Z"},{"id":"ALT093","defaultExercise":"Cable leg curl","alternative":"Nordic hamstring curl","reason":"Equipment match","notes":"Equipment-compatible option.","updatedAt":"2026-07-19T15:45:00.000Z"},{"id":"ALT094","defaultExercise":"Standing calf raise","alternative":"Single-leg calf raise","reason":"Equipment match","notes":"Equipment-compatible option.","updatedAt":"2026-07-19T15:45:00.000Z"},{"id":"ALT095","defaultExercise":"Standing calf raise","alternative":"Seated calf raise","reason":"Equipment match","notes":"Equipment-compatible option.","updatedAt":"2026-07-19T15:45:00.000Z"},{"id":"ALT096","defaultExercise":"Barbell bench press","alternative":"Push-up","reason":"Equipment match","notes":"Equipment-compatible option.","updatedAt":"2026-07-19T15:45:00.000Z"},{"id":"ALT097","defaultExercise":"Barbell bench press","alternative":"Smith-machine bench press","reason":"Equipment match","notes":"Equipment-compatible option.","updatedAt":"2026-07-19T15:45:00.000Z"},{"id":"ALT098","defaultExercise":"Barbell bench press","alternative":"Chest press machine","reason":"Equipment match","notes":"Equipment-compatible option.","updatedAt":"2026-07-19T15:45:00.000Z"},{"id":"ALT099","defaultExercise":"Barbell bench press","alternative":"Swiss-bar bench press","reason":"Equipment match","notes":"Equipment-compatible option.","updatedAt":"2026-07-19T15:45:00.000Z"},{"id":"ALT100","defaultExercise":"Incline dumbbell press","alternative":"Feet-elevated push-up","reason":"Equipment match","notes":"Equipment-compatible option.","updatedAt":"2026-07-19T15:45:00.000Z"},{"id":"ALT101","defaultExercise":"Incline dumbbell press","alternative":"Landmine press","reason":"Equipment match","notes":"Equipment-compatible option.","updatedAt":"2026-07-19T15:45:00.000Z"},{"id":"ALT102","defaultExercise":"Incline dumbbell press","alternative":"Chest press machine","reason":"Equipment match","notes":"Equipment-compatible option.","updatedAt":"2026-07-19T15:45:00.000Z"},{"id":"ALT103","defaultExercise":"Cable lat pulldown or ring chin-up","alternative":"Pull-up","reason":"Equipment match","notes":"Equipment-compatible option.","updatedAt":"2026-07-19T15:45:00.000Z"},{"id":"ALT104","defaultExercise":"Cable lat pulldown or ring chin-up","alternative":"Band-assisted pull-up","reason":"Equipment match","notes":"Equipment-compatible option.","updatedAt":"2026-07-19T15:45:00.000Z"},{"id":"ALT105","defaultExercise":"Cable lat pulldown or ring chin-up","alternative":"Band lat pulldown","reason":"Equipment match","notes":"Equipment-compatible option.","updatedAt":"2026-07-19T15:45:00.000Z"},{"id":"ALT106","defaultExercise":"Pulldown or chin-up","alternative":"Pull-up","reason":"Equipment match","notes":"Equipment-compatible option.","updatedAt":"2026-07-19T15:45:00.000Z"},{"id":"ALT107","defaultExercise":"Pulldown or chin-up","alternative":"Band-assisted pull-up","reason":"Equipment match","notes":"Equipment-compatible option.","updatedAt":"2026-07-19T15:45:00.000Z"},{"id":"ALT108","defaultExercise":"Pulldown or chin-up","alternative":"Band lat pulldown","reason":"Equipment match","notes":"Equipment-compatible option.","updatedAt":"2026-07-19T15:45:00.000Z"},{"id":"ALT109","defaultExercise":"Weighted chin-up or heavy pulldown","alternative":"Pull-up","reason":"Equipment match","notes":"Equipment-compatible option.","updatedAt":"2026-07-19T15:45:00.000Z"},{"id":"ALT110","defaultExercise":"Weighted chin-up or heavy pulldown","alternative":"Ring chin-up","reason":"Equipment match","notes":"Equipment-compatible option.","updatedAt":"2026-07-19T15:45:00.000Z"},{"id":"ALT111","defaultExercise":"Weighted chin-up or heavy pulldown","alternative":"Band lat pulldown","reason":"Equipment match","notes":"Equipment-compatible option.","updatedAt":"2026-07-19T15:45:00.000Z"},{"id":"ALT112","defaultExercise":"Chest-supported dumbbell row","alternative":"One-arm dumbbell row","reason":"Equipment match","notes":"Equipment-compatible option.","updatedAt":"2026-07-19T15:45:00.000Z"},{"id":"ALT113","defaultExercise":"Chest-supported dumbbell row","alternative":"Band row","reason":"Equipment match","notes":"Equipment-compatible option.","updatedAt":"2026-07-19T15:45:00.000Z"},{"id":"ALT114","defaultExercise":"Chest-supported dumbbell row","alternative":"Landmine T-bar row","reason":"Equipment match","notes":"Equipment-compatible option.","updatedAt":"2026-07-19T15:45:00.000Z"},{"id":"ALT115","defaultExercise":"One-arm cable row","alternative":"One-arm dumbbell row","reason":"Equipment match","notes":"Equipment-compatible option.","updatedAt":"2026-07-19T15:45:00.000Z"},{"id":"ALT116","defaultExercise":"One-arm cable row","alternative":"Band row","reason":"Equipment match","notes":"Equipment-compatible option.","updatedAt":"2026-07-19T15:45:00.000Z"},{"id":"ALT117","defaultExercise":"One-arm cable row","alternative":"Landmine T-bar row","reason":"Equipment match","notes":"Equipment-compatible option.","updatedAt":"2026-07-19T15:45:00.000Z"},{"id":"ALT118","defaultExercise":"Seated dumbbell overhead press","alternative":"Arnold press","reason":"Equipment match","notes":"Equipment-compatible option.","updatedAt":"2026-07-19T15:45:00.000Z"},{"id":"ALT119","defaultExercise":"Seated dumbbell overhead press","alternative":"Landmine press","reason":"Equipment match","notes":"Equipment-compatible option.","updatedAt":"2026-07-19T15:45:00.000Z"},{"id":"ALT120","defaultExercise":"Seated dumbbell overhead press","alternative":"Pike push-up","reason":"Equipment match","notes":"Equipment-compatible option.","updatedAt":"2026-07-19T15:45:00.000Z"},{"id":"ALT121","defaultExercise":"Close-grip bench press or weighted ring push-up","alternative":"Close-grip bench press","reason":"Equipment match","notes":"Equipment-compatible option.","updatedAt":"2026-07-19T15:45:00.000Z"},{"id":"ALT122","defaultExercise":"Close-grip bench press or weighted ring push-up","alternative":"Weighted ring push-up","reason":"Equipment match","notes":"Equipment-compatible option.","updatedAt":"2026-07-19T15:45:00.000Z"},{"id":"ALT123","defaultExercise":"Close-grip bench press or weighted ring push-up","alternative":"Parallel-bar dip","reason":"Equipment match","notes":"Equipment-compatible option.","updatedAt":"2026-07-19T15:45:00.000Z"},{"id":"ALT124","defaultExercise":"Close-grip bench press or weighted ring push-up","alternative":"Close-grip push-up","reason":"Equipment match","notes":"Equipment-compatible option.","updatedAt":"2026-07-19T15:45:00.000Z"},{"id":"ALT125","defaultExercise":"Close-grip bench press or weighted ring push-up","alternative":"Band-assisted dip","reason":"Equipment match","notes":"Equipment-compatible option.","updatedAt":"2026-07-19T15:45:00.000Z"},{"id":"ALT126","defaultExercise":"Cable lateral raise","alternative":"Band lateral raise","reason":"Equipment match","notes":"Equipment-compatible option.","updatedAt":"2026-07-19T15:45:00.000Z"},{"id":"ALT127","defaultExercise":"Cable rear-delt fly or face pull","alternative":"Dumbbell rear-delt fly","reason":"Equipment match","notes":"Equipment-compatible option.","updatedAt":"2026-07-19T15:45:00.000Z"},{"id":"ALT128","defaultExercise":"Cable rear-delt fly or face pull","alternative":"Reverse pec deck","reason":"Equipment match","notes":"Equipment-</x:v>
      </x:c>
      <x:c r="C4" s="72" t="n">
        <x:v>0</x:v>
      </x:c>
      <x:c r="D4" s="102" t="n">
        <x:v>46222.65625</x:v>
      </x:c>
      <x:c r="E4" s="72" t="str">
        <x:v>template</x:v>
      </x:c>
      <x:c r="F4" s="72" t="str">
        <x:v>v2.2 template</x:v>
      </x:c>
      <x:c r="G4" s="73" t="str"/>
    </x:row>
    <x:row r="5">
      <x:c r="A5" s="74" t="n">
        <x:v>4</x:v>
      </x:c>
      <x:c r="B5" s="75" t="str">
        <x:v>compatible option.","updatedAt":"2026-07-19T15:45:00.000Z"},{"id":"ALT129","defaultExercise":"Cable rear-delt fly or face pull","alternative":"Band face pull","reason":"Equipment match","notes":"Equipment-compatible option.","updatedAt":"2026-07-19T15:45:00.000Z"},{"id":"ALT130","defaultExercise":"Rear-delt cable fly","alternative":"Dumbbell rear-delt fly","reason":"Equipment match","notes":"Equipment-compatible option.","updatedAt":"2026-07-19T15:45:00.000Z"},{"id":"ALT131","defaultExercise":"Rear-delt cable fly","alternative":"Reverse pec deck","reason":"Equipment match","notes":"Equipment-compatible option.","updatedAt":"2026-07-19T15:45:00.000Z"},{"id":"ALT132","defaultExercise":"Rear-delt cable fly","alternative":"Band face pull","reason":"Equipment match","notes":"Equipment-compatible option.","updatedAt":"2026-07-19T15:45:00.000Z"},{"id":"ALT133","defaultExercise":"Cable triceps pushdown","alternative":"Band triceps pushdown","reason":"Equipment match","notes":"Equipment-compatible option.","updatedAt":"2026-07-19T15:45:00.000Z"},{"id":"ALT134","defaultExercise":"Cable triceps pushdown","alternative":"Dumbbell skull crusher","reason":"Equipment match","notes":"Equipment-compatible option.","updatedAt":"2026-07-19T15:45:00.000Z"},{"id":"ALT135","defaultExercise":"Cable triceps pushdown","alternative":"EZ-bar skull crusher","reason":"Equipment match","notes":"Equipment-compatible option.","updatedAt":"2026-07-19T15:45:00.000Z"},{"id":"ALT136","defaultExercise":"Cable triceps pushdown","alternative":"Close-grip push-up","reason":"Equipment match","notes":"Equipment-compatible option.","updatedAt":"2026-07-19T15:45:00.000Z"},{"id":"ALT137","defaultExercise":"Overhead cable triceps extension","alternative":"Dumbbell skull crusher","reason":"Equipment match","notes":"Equipment-compatible option.","updatedAt":"2026-07-19T15:45:00.000Z"},{"id":"ALT138","defaultExercise":"Overhead cable triceps extension","alternative":"EZ-bar skull crusher","reason":"Equipment match","notes":"Equipment-compatible option.","updatedAt":"2026-07-19T15:45:00.000Z"},{"id":"ALT139","defaultExercise":"Overhead cable triceps extension","alternative":"Band triceps pushdown","reason":"Equipment match","notes":"Equipment-compatible option.","updatedAt":"2026-07-19T15:45:00.000Z"},{"id":"ALT140","defaultExercise":"Overhead triceps extension","alternative":"Overhead cable triceps extension","reason":"Equipment match","notes":"Equipment-compatible option.","updatedAt":"2026-07-19T15:45:00.000Z"},{"id":"ALT141","defaultExercise":"Overhead triceps extension","alternative":"Dumbbell skull crusher","reason":"Equipment match","notes":"Equipment-compatible option.","updatedAt":"2026-07-19T15:45:00.000Z"},{"id":"ALT142","defaultExercise":"Overhead triceps extension","alternative":"EZ-bar skull crusher","reason":"Equipment match","notes":"Equipment-compatible option.","updatedAt":"2026-07-19T15:45:00.000Z"},{"id":"ALT143","defaultExercise":"Overhead triceps extension","alternative":"Band triceps pushdown","reason":"Equipment match","notes":"Equipment-compatible option.","updatedAt":"2026-07-19T15:45:00.000Z"},{"id":"ALT144","defaultExercise":"Incline dumbbell or cable curl","alternative":"EZ-bar curl","reason":"Equipment match","notes":"Equipment-compatible option.","updatedAt":"2026-07-19T15:45:00.000Z"},{"id":"ALT145","defaultExercise":"Incline dumbbell or cable curl","alternative":"Band curl","reason":"Equipment match","notes":"Equipment-compatible option.","updatedAt":"2026-07-19T15:45:00.000Z"},{"id":"ALT146","defaultExercise":"Incline dumbbell or cable curl","alternative":"Preacher curl","reason":"Equipment match","notes":"Equipment-compatible option.","updatedAt":"2026-07-19T15:45:00.000Z"},{"id":"ALT147","defaultExercise":"Cable curl","alternative":"Incline dumbbell curl","reason":"Equipment match","notes":"Equipment-compatible option.","updatedAt":"2026-07-19T15:45:00.000Z"},{"id":"ALT148","defaultExercise":"Cable curl","alternative":"Dumbbell hammer curl","reason":"Equipment match","notes":"Equipment-compatible option.","updatedAt":"2026-07-19T15:45:00.000Z"},{"id":"ALT149","defaultExercise":"Cable curl","alternative":"EZ-bar curl","reason":"Equipment match","notes":"Equipment-compatible option.","updatedAt":"2026-07-19T15:45:00.000Z"},{"id":"ALT150","defaultExercise":"Cable curl","alternative":"Band curl","reason":"Equipment match","notes":"Equipment-compatible option.","updatedAt":"2026-07-19T15:45:00.000Z"},{"id":"ALT151","defaultExercise":"Cable curl","alternative":"Preacher curl","reason":"Equipment match","notes":"Equipment-compatible option.","updatedAt":"2026-07-19T15:45:00.000Z"},{"id":"ALT152","defaultExercise":"Dumbbell hammer curl","alternative":"EZ-bar curl","reason":"Equipment match","notes":"Equipment-compatible option.","updatedAt":"2026-07-19T15:45:00.000Z"},{"id":"ALT153","defaultExercise":"Dumbbell hammer curl","alternative":"Band curl","reason":"Equipment match","notes":"Equipment-compatible option.","updatedAt":"2026-07-19T15:45:00.000Z"},{"id":"ALT154","defaultExercise":"Hammer curl","alternative":"Dumbbell hammer curl","reason":"Equipment match","notes":"Equipment-compatible option.","updatedAt":"2026-07-19T15:45:00.000Z"},{"id":"ALT155","defaultExercise":"Hammer curl","alternative":"Cable curl","reason":"Equipment match","notes":"Equipment-compatible option.","updatedAt":"2026-07-19T15:45:00.000Z"},{"id":"ALT156","defaultExercise":"Hammer curl","alternative":"Band curl","reason":"Equipment match","notes":"Equipment-compatible option.","updatedAt":"2026-07-19T15:45:00.000Z"},{"id":"ALT157","defaultExercise":"Dead bug or Pallof press","alternative":"Band Pallof press","reason":"Equipment match","notes":"Equipment-compatible option.","updatedAt":"2026-07-19T15:45:00.000Z"},{"id":"ALT158","defaultExercise":"Dead bug or Pallof press","alternative":"Side plank","reason":"Equipment match","notes":"Equipment-compatible option.","updatedAt":"2026-07-19T15:45:00.000Z"},{"id":"ALT159","defaultExercise":"Ab wheel or cable crunch","alternative":"Ab wheel","reason":"Equipment match","notes":"Equipment-compatible option.","updatedAt":"2026-07-19T15:45:00.000Z"},{"id":"ALT160","defaultExercise":"Ab wheel or cable crunch","alternative":"Reverse crunch","reason":"Equipment match","notes":"Equipment-compatible option.","updatedAt":"2026-07-19T15:45:00.000Z"},{"id":"ALT161","defaultExercise":"Ab wheel or cable crunch","alternative":"Stability-ball crunch","reason":"Equipment match","notes":"Equipment-compatible option.","updatedAt":"2026-07-19T15:45:00.000Z"}],"ingredientCache":[{"id":"ING001","name":"Chicken breast","servingDescription":"100 g cooked","kcal":165,"protein":31,"carbs":0,"fat":3.6,"notes":"Example only; replace with your package/cooked-weight values.","updatedAt":"2026-07-19T10:00:00.000Z"},{"id":"ING002","name":"0% Greek yoghurt","servingDescription":"100 g","kcal":59,"protein":10.3,"carbs":3.6,"fat":0.4,"notes":"Example only; brands vary.","updatedAt":"2026-07-19T10:00:00.000Z"},{"id":"ING003","name":"Whey protein","servingDescription":"30 g scoop","kcal":120,"protein":24,"carbs":3,"fat":2,"notes":"Use the exact label values.","updatedAt":"2026-07-19T10:00:00.000Z"},{"id":"ING004","name":"Egg whites","servingDescription":"100 g","kcal":52,"protein":10.9,"carbs":0.7,"fat":0.2,"notes":"Example only.","updatedAt":"2026-07-19T10:00:00.000Z"},{"id":"ING005","name":"Cooked white rice","servingDescription":"100 g","kcal":130,"protein":2.4,"carbs":28.2,"fat":0.3,"notes":"Cooked weight; example only.","updatedAt":"2026-07-19T10:00:00.000Z"},{"id":"ING006","name":"Boiled potato","servingDescription":"100 g","kcal":87,"protein":1.9,"carbs":20.1,"fat":0.1,"notes":"Example only.","updatedAt":"2026-07-19T10:00:00.000Z"},{"id":"ING007","name":"Tuna in water, drained","servingDescription":"100 g","kcal":116,"protein":25.5,"carbs":0,"fat":0.8,"notes":"Check the can label.","updatedAt":"2026-07-19T10:00:00.000Z"},{"id":"ING008","name":"Low-fat cottage cheese","servingDescription":"100 g","kcal":82,"protein":11.1,"carbs":3.4,"fat":2.3,"notes":"Brands vary.","updatedAt":"2026-07-19T10:00:00.000Z"},{"id":"ING009","name":"Lean turkey mince","servingDescription":"100 g","kcal":145,"protein":21,"carbs":0,"fat":6,"notes":"Use your package values.","updatedAt":"2026-07-19T10:00:00.000Z"},{"id":"ING010","name":"Courgette","servingDescription":"100 g","kcal":17,"protein":1.2,"carbs":3.1,"fat":0.3,"notes":"Example only.","updatedAt":"2026-07-19T10:00:00.000Z"}],"recipes":[{"id":"RCP001","name":"Chicken courgette rice bowl","category":"Normal cut","servings":2,"totalKcal":780,"protein":92,"carbs":72,"fat":14,"rflFriendly":"No","noBellPeppers":"Yes","noShellfish":"Yes","notes":"Example values only. No bell peppers; adjust to your ingredients.","favourite":false,"instructions":"","ingredients":[],"updatedAt":"2026-07-19T10:00:00.000Z"},{"id":"RCP002","name":"Greek yoghurt whey bowl","category":"High protein","servings":1,"totalKcal":410,"protein":55,"carbs":32,"fat":6,"rflFriendly":"Yes","noBellPeppers":"Yes","noShellfish":"Yes","notes":"Good quick protein option; use exact label values.","favourite":true,"instructions":"","ingredients":[],"updatedAt":"2026-07-19T10:00:00.000Z"},{"id":"RCP003","name":"Egg-white spinach omelette","category":"RFL-friendly","servings":1,"totalKcal":260,"protein":42,"carbs":8,"fat":6,"rflFriendly":"Yes","noBellPeppers":"Yes","noShellfish":"Yes","notes":"Use herbs, spinach, mushrooms; avoid bell peppers.","favourite":true,"instructions":"","ingredients":[],"updatedAt":"2026-07-19T10:00:00.000Z"},{"id":"RCP004","name":"Lean turkey tomato mince","category":"Batch cook","servings":4,"totalKcal":1280,"protein":156,"carbs":64,"fat":36,"rflFriendly":"Maybe","noBellPeppers":"Yes","noShellfish":"Yes","notes":"Serve with rice/potatoes outside RFL or vegetables during RFL.","favourite":false,"instructions":"","ingredients":[],"updatedAt":"2026-07-19T10:00:00.000Z"},{"id":"RCP005","name":"Tuna potato salad","category":"Normal cut","servings":2,"totalKcal":650,"protein":62,"carbs":82,"fat":8,"rflFriendly":"No","noBellPeppers":"Yes","noShellfish":"Yes","notes":"Tuna is not shellfish; avoid mayo-heavy versions.","favourite":false,"instructions":"","ingredients":[],"updatedAt":"2026-07-19T10:00:00.000Z"},{"id":"RCP006","name":"Cottage cheese chicken salad","category":"RFL-friendly","servings":1,"totalKcal":360,"protein":60,"carbs":14,"fat":7,"rflFriendly":"Yes","noBellPeppers":"Yes","noShellfish":"Yes","notes":"Use cucumber, lettuce, tomato; no bell peppers.","favourite":true,"instructions":"","ingredients":[],"updatedAt":"2026-07-19T10:00:00.000Z"}],"workoutSessions":[],"workoutLogs":[],"foodLog":[],"bodyMetrics":[],"dailyCheckins":[],"dietPhases":[],"cardioLogs":[],"progressPhotos":[]}</x:v>
      </x:c>
      <x:c r="C5" s="75" t="n">
        <x:v>0</x:v>
      </x:c>
      <x:c r="D5" s="103" t="n">
        <x:v>46222.65625</x:v>
      </x:c>
      <x:c r="E5" s="75" t="str">
        <x:v>template</x:v>
      </x:c>
      <x:c r="F5" s="75" t="str">
        <x:v>v2.2 template</x:v>
      </x:c>
      <x:c r="G5" s="76" t="str"/>
    </x:row>
    <x:row r="6">
      <x:c r="A6"/>
      <x:c r="B6"/>
      <x:c r="C6"/>
      <x:c r="D6"/>
      <x:c r="E6"/>
      <x:c r="F6"/>
      <x:c r="G6"/>
    </x:row>
    <x:row r="7">
      <x:c r="A7"/>
      <x:c r="B7"/>
      <x:c r="C7"/>
      <x:c r="D7"/>
      <x:c r="E7"/>
      <x:c r="F7"/>
      <x:c r="G7"/>
    </x:row>
    <x:row r="8">
      <x:c r="A8"/>
      <x:c r="B8"/>
      <x:c r="C8"/>
      <x:c r="D8"/>
      <x:c r="E8"/>
      <x:c r="F8"/>
      <x:c r="G8"/>
    </x:row>
    <x:row r="9">
      <x:c r="A9"/>
      <x:c r="B9"/>
      <x:c r="C9"/>
      <x:c r="D9"/>
      <x:c r="E9"/>
      <x:c r="F9"/>
      <x:c r="G9"/>
    </x:row>
    <x:row r="10">
      <x:c r="A10"/>
      <x:c r="B10"/>
      <x:c r="C10"/>
      <x:c r="D10"/>
      <x:c r="E10"/>
      <x:c r="F10"/>
      <x:c r="G10"/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4" hidden="0" customWidth="1"/>
    <x:col min="5" max="5" width="30" hidden="0" customWidth="1"/>
    <x:col min="6" max="6" width="30" hidden="0" customWidth="1"/>
  </x:cols>
  <x:sheetData>
    <x:row r="1">
      <x:c r="A1" s="5" t="str">
        <x:v>Weekly Review</x:v>
      </x:c>
      <x:c r="B1" s="5"/>
      <x:c r="C1" s="5"/>
      <x:c r="D1" s="5"/>
      <x:c r="E1" s="5"/>
      <x:c r="F1" s="5"/>
    </x:row>
    <x:row r="3">
      <x:c r="A3" t="str">
        <x:v>Week start</x:v>
      </x:c>
      <x:c r="B3" s="50" t="n">
        <x:f>TODAY()-WEEKDAY(TODAY(),2)+1</x:f>
        <x:v>46216</x:v>
      </x:c>
    </x:row>
    <x:row r="5">
      <x:c r="A5" s="22" t="str">
        <x:v>Metric</x:v>
      </x:c>
      <x:c r="B5" s="22" t="str">
        <x:v>Value</x:v>
      </x:c>
      <x:c r="D5" s="22" t="str">
        <x:v>Reflection</x:v>
      </x:c>
      <x:c r="E5" s="22" t="str">
        <x:v>Notes</x:v>
      </x:c>
      <x:c r="F5" s="22" t="str">
        <x:v>Next action</x:v>
      </x:c>
    </x:row>
    <x:row r="6">
      <x:c r="A6" s="12" t="str">
        <x:v>Average weight kg</x:v>
      </x:c>
      <x:c r="B6" s="31" t="str">
        <x:f>IFERROR(AVERAGEIFS(Body_Metrics!$C:$C,Body_Metrics!$B:$B,"&gt;="&amp;$B$3,Body_Metrics!$B:$B,"&lt;"&amp;$B$3+7),"")</x:f>
      </x:c>
      <x:c r="D6" s="12" t="str">
        <x:v>Training performance</x:v>
      </x:c>
      <x:c r="E6" s="16"/>
      <x:c r="F6" s="16"/>
    </x:row>
    <x:row r="7">
      <x:c r="A7" s="12" t="str">
        <x:v>Weight change vs prior week kg</x:v>
      </x:c>
      <x:c r="B7" s="31" t="str">
        <x:f>IFERROR(B6-AVERAGEIFS(Body_Metrics!$C:$C,Body_Metrics!$B:$B,"&gt;="&amp;$B$3-7,Body_Metrics!$B:$B,"&lt;"&amp;$B$3),"")</x:f>
      </x:c>
      <x:c r="D7" s="12" t="str">
        <x:v>Diet adherence</x:v>
      </x:c>
      <x:c r="E7" s="16"/>
      <x:c r="F7" s="16"/>
    </x:row>
    <x:row r="8">
      <x:c r="A8" s="12" t="str">
        <x:v>Workouts</x:v>
      </x:c>
      <x:c r="B8" s="31" t="n">
        <x:f>COUNTIFS(Workout_Sessions!$B:$B,"&gt;="&amp;$B$3,Workout_Sessions!$B:$B,"&lt;"&amp;$B$3+7,Workout_Sessions!$L:$L,TRUE)</x:f>
        <x:v>0</x:v>
      </x:c>
      <x:c r="D8" s="12" t="str">
        <x:v>Hunger / energy</x:v>
      </x:c>
      <x:c r="E8" s="16"/>
      <x:c r="F8" s="16"/>
    </x:row>
    <x:row r="9">
      <x:c r="A9" s="12" t="str">
        <x:v>Work sets</x:v>
      </x:c>
      <x:c r="B9" s="31" t="n">
        <x:f>COUNTIFS(Workout_Sets!$C:$C,"&gt;="&amp;$B$3,Workout_Sets!$C:$C,"&lt;"&amp;$B$3+7,Workout_Sets!$I:$I,FALSE)</x:f>
        <x:v>0</x:v>
      </x:c>
      <x:c r="D9" s="12" t="str">
        <x:v>Sleep / stress</x:v>
      </x:c>
      <x:c r="E9" s="16"/>
      <x:c r="F9" s="16"/>
    </x:row>
    <x:row r="10">
      <x:c r="A10" s="12" t="str">
        <x:v>Volume kg</x:v>
      </x:c>
      <x:c r="B10" s="31" t="n">
        <x:f>SUMIFS(Workout_Sets!$N:$N,Workout_Sets!$C:$C,"&gt;="&amp;$B$3,Workout_Sets!$C:$C,"&lt;"&amp;$B$3+7,Workout_Sets!$I:$I,FALSE)</x:f>
        <x:v>0</x:v>
      </x:c>
      <x:c r="D10" s="12" t="str">
        <x:v>Pain / recovery</x:v>
      </x:c>
      <x:c r="E10" s="16"/>
      <x:c r="F10" s="16"/>
    </x:row>
    <x:row r="11">
      <x:c r="A11" s="12" t="str">
        <x:v>Average steps</x:v>
      </x:c>
      <x:c r="B11" s="31" t="str">
        <x:f>IFERROR(AVERAGEIFS(Daily_Checkins!$C:$C,Daily_Checkins!$B:$B,"&gt;="&amp;$B$3,Daily_Checkins!$B:$B,"&lt;"&amp;$B$3+7),"")</x:f>
      </x:c>
      <x:c r="D11" s="12" t="str">
        <x:v>Plan for next week</x:v>
      </x:c>
      <x:c r="E11" s="16"/>
      <x:c r="F11" s="16"/>
    </x:row>
    <x:row r="12">
      <x:c r="A12" s="12" t="str">
        <x:v>Diet adherence %</x:v>
      </x:c>
      <x:c r="B12" s="31" t="str">
        <x:f>IFERROR(AVERAGEIFS(Daily_Checkins!$I:$I,Daily_Checkins!$B:$B,"&gt;="&amp;$B$3,Daily_Checkins!$B:$B,"&lt;"&amp;$B$3+7),"")</x:f>
      </x:c>
    </x:row>
  </x:sheetData>
  <x:mergeCells>
    <x:mergeCell ref="A1:F1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</x:cols>
  <x:sheetData>
    <x:row r="1">
      <x:c r="A1" s="22" t="str">
        <x:v>DietModes</x:v>
      </x:c>
      <x:c r="B1" s="22" t="str">
        <x:v>RFLFriendly</x:v>
      </x:c>
      <x:c r="C1" s="22" t="str">
        <x:v>Boolean</x:v>
      </x:c>
      <x:c r="D1" s="22" t="str">
        <x:v>PhaseStatus</x:v>
      </x:c>
      <x:c r="E1" s="22" t="str">
        <x:v>Meals</x:v>
      </x:c>
      <x:c r="F1" s="22" t="str">
        <x:v>Days</x:v>
      </x:c>
    </x:row>
    <x:row r="2">
      <x:c r="A2" t="str">
        <x:v>Normal / moderate deficit</x:v>
      </x:c>
      <x:c r="B2" t="str">
        <x:v>Yes</x:v>
      </x:c>
      <x:c r="C2" t="str">
        <x:v>TRUE</x:v>
      </x:c>
      <x:c r="D2" t="str">
        <x:v>Active</x:v>
      </x:c>
      <x:c r="E2" t="str">
        <x:v>Breakfast</x:v>
      </x:c>
      <x:c r="F2" t="str">
        <x:v>Monday</x:v>
      </x:c>
    </x:row>
    <x:row r="3">
      <x:c r="A3" t="str">
        <x:v>RFL / PSMF</x:v>
      </x:c>
      <x:c r="B3" t="str">
        <x:v>Maybe</x:v>
      </x:c>
      <x:c r="C3" t="str">
        <x:v>FALSE</x:v>
      </x:c>
      <x:c r="D3" t="str">
        <x:v>Completed</x:v>
      </x:c>
      <x:c r="E3" t="str">
        <x:v>Lunch</x:v>
      </x:c>
      <x:c r="F3" t="str">
        <x:v>Tuesday</x:v>
      </x:c>
    </x:row>
    <x:row r="4">
      <x:c r="A4" t="str">
        <x:v>Maintenance / transition</x:v>
      </x:c>
      <x:c r="B4" t="str">
        <x:v>No</x:v>
      </x:c>
      <x:c r="C4" t="str"/>
      <x:c r="D4" t="str">
        <x:v>Planned</x:v>
      </x:c>
      <x:c r="E4" t="str">
        <x:v>Dinner</x:v>
      </x:c>
      <x:c r="F4" t="str">
        <x:v>Wednesday</x:v>
      </x:c>
    </x:row>
    <x:row r="5">
      <x:c r="A5" t="str"/>
      <x:c r="B5" t="str"/>
      <x:c r="C5" t="str"/>
      <x:c r="D5" t="str"/>
      <x:c r="E5" t="str">
        <x:v>Snack</x:v>
      </x:c>
      <x:c r="F5" t="str">
        <x:v>Thursday</x:v>
      </x:c>
    </x:row>
    <x:row r="6">
      <x:c r="A6" t="str"/>
      <x:c r="B6" t="str"/>
      <x:c r="C6" t="str"/>
      <x:c r="D6" t="str"/>
      <x:c r="E6" t="str">
        <x:v>Post-workout</x:v>
      </x:c>
      <x:c r="F6" t="str">
        <x:v>Friday</x:v>
      </x:c>
    </x:row>
    <x:row r="7">
      <x:c r="A7" t="str"/>
      <x:c r="B7" t="str"/>
      <x:c r="C7" t="str"/>
      <x:c r="D7" t="str"/>
      <x:c r="E7" t="str"/>
      <x:c r="F7" t="str">
        <x:v>Saturday</x:v>
      </x:c>
    </x:row>
    <x:row r="8">
      <x:c r="A8" t="str"/>
      <x:c r="B8" t="str"/>
      <x:c r="C8" t="str"/>
      <x:c r="D8" t="str"/>
      <x:c r="E8" t="str"/>
      <x:c r="F8" t="str">
        <x:v>Sunday</x:v>
      </x:c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26" hidden="0" customWidth="1"/>
    <x:col min="3" max="3" width="58" hidden="0" customWidth="1"/>
    <x:col min="4" max="4" width="12" hidden="0" customWidth="1"/>
    <x:col min="5" max="5" width="10" hidden="0" customWidth="1"/>
  </x:cols>
  <x:sheetData>
    <x:row r="1">
      <x:c r="A1" s="63" t="str">
        <x:v>Equipment</x:v>
      </x:c>
      <x:c r="B1" s="63" t="str">
        <x:v>Category</x:v>
      </x:c>
      <x:c r="C1" s="63" t="str">
        <x:v>Description</x:v>
      </x:c>
      <x:c r="D1" s="63" t="str">
        <x:v>Selected</x:v>
      </x:c>
      <x:c r="E1" s="63" t="str">
        <x:v>Custom</x:v>
      </x:c>
    </x:row>
    <x:row r="2">
      <x:c r="A2" s="64" t="str">
        <x:v>Bodyweight / floor space</x:v>
      </x:c>
      <x:c r="B2" s="65" t="str">
        <x:v>Essentials</x:v>
      </x:c>
      <x:c r="C2" s="65" t="str">
        <x:v>Floor space for bodyweight exercises and mobility.</x:v>
      </x:c>
      <x:c r="D2" s="80" t="b">
        <x:v>1</x:v>
      </x:c>
      <x:c r="E2" s="98" t="b">
        <x:v>0</x:v>
      </x:c>
    </x:row>
    <x:row r="3">
      <x:c r="A3" s="67" t="str">
        <x:v>Power rack / squat stands</x:v>
      </x:c>
      <x:c r="B3" s="68" t="str">
        <x:v>Essentials</x:v>
      </x:c>
      <x:c r="C3" s="68" t="str">
        <x:v>Supports barbell squats, bench presses and rack work.</x:v>
      </x:c>
      <x:c r="D3" s="70" t="b">
        <x:v>1</x:v>
      </x:c>
      <x:c r="E3" s="99" t="b">
        <x:v>0</x:v>
      </x:c>
    </x:row>
    <x:row r="4">
      <x:c r="A4" s="67" t="str">
        <x:v>Barbell + plates</x:v>
      </x:c>
      <x:c r="B4" s="68" t="str">
        <x:v>Essentials</x:v>
      </x:c>
      <x:c r="C4" s="68" t="str">
        <x:v>Standard or Olympic barbell with loadable plates.</x:v>
      </x:c>
      <x:c r="D4" s="70" t="b">
        <x:v>1</x:v>
      </x:c>
      <x:c r="E4" s="99" t="b">
        <x:v>0</x:v>
      </x:c>
    </x:row>
    <x:row r="5">
      <x:c r="A5" s="67" t="str">
        <x:v>Flat bench</x:v>
      </x:c>
      <x:c r="B5" s="68" t="str">
        <x:v>Essentials</x:v>
      </x:c>
      <x:c r="C5" s="68" t="str">
        <x:v>Fixed flat bench.</x:v>
      </x:c>
      <x:c r="D5" s="70" t="b">
        <x:v>0</x:v>
      </x:c>
      <x:c r="E5" s="99" t="b">
        <x:v>0</x:v>
      </x:c>
    </x:row>
    <x:row r="6">
      <x:c r="A6" s="67" t="str">
        <x:v>Adjustable bench</x:v>
      </x:c>
      <x:c r="B6" s="68" t="str">
        <x:v>Essentials</x:v>
      </x:c>
      <x:c r="C6" s="68" t="str">
        <x:v>Bench that can be used flat or inclined.</x:v>
      </x:c>
      <x:c r="D6" s="70" t="b">
        <x:v>1</x:v>
      </x:c>
      <x:c r="E6" s="99" t="b">
        <x:v>0</x:v>
      </x:c>
    </x:row>
    <x:row r="7">
      <x:c r="A7" s="67" t="str">
        <x:v>Adjustable dumbbells</x:v>
      </x:c>
      <x:c r="B7" s="68" t="str">
        <x:v>Essentials</x:v>
      </x:c>
      <x:c r="C7" s="68" t="str">
        <x:v>Load-adjustable dumbbell pair.</x:v>
      </x:c>
      <x:c r="D7" s="70" t="b">
        <x:v>1</x:v>
      </x:c>
      <x:c r="E7" s="99" t="b">
        <x:v>0</x:v>
      </x:c>
    </x:row>
    <x:row r="8">
      <x:c r="A8" s="67" t="str">
        <x:v>Fixed dumbbells</x:v>
      </x:c>
      <x:c r="B8" s="68" t="str">
        <x:v>Essentials</x:v>
      </x:c>
      <x:c r="C8" s="68" t="str">
        <x:v>Fixed-weight dumbbell set.</x:v>
      </x:c>
      <x:c r="D8" s="70" t="b">
        <x:v>0</x:v>
      </x:c>
      <x:c r="E8" s="99" t="b">
        <x:v>0</x:v>
      </x:c>
    </x:row>
    <x:row r="9">
      <x:c r="A9" s="67" t="str">
        <x:v>Kettlebells</x:v>
      </x:c>
      <x:c r="B9" s="68" t="str">
        <x:v>Essentials</x:v>
      </x:c>
      <x:c r="C9" s="68" t="str">
        <x:v>One or more kettlebells.</x:v>
      </x:c>
      <x:c r="D9" s="70" t="b">
        <x:v>0</x:v>
      </x:c>
      <x:c r="E9" s="99" t="b">
        <x:v>0</x:v>
      </x:c>
    </x:row>
    <x:row r="10">
      <x:c r="A10" s="67" t="str">
        <x:v>Resistance bands / tubes</x:v>
      </x:c>
      <x:c r="B10" s="68" t="str">
        <x:v>Essentials</x:v>
      </x:c>
      <x:c r="C10" s="68" t="str">
        <x:v>Loop bands or handled resistance tubes.</x:v>
      </x:c>
      <x:c r="D10" s="70" t="b">
        <x:v>0</x:v>
      </x:c>
      <x:c r="E10" s="99" t="b">
        <x:v>0</x:v>
      </x:c>
    </x:row>
    <x:row r="11">
      <x:c r="A11" s="67" t="str">
        <x:v>Cable station / functional trainer</x:v>
      </x:c>
      <x:c r="B11" s="68" t="str">
        <x:v>Pulling and cable</x:v>
      </x:c>
      <x:c r="C11" s="68" t="str">
        <x:v>High and/or low adjustable cable pulley.</x:v>
      </x:c>
      <x:c r="D11" s="70" t="b">
        <x:v>1</x:v>
      </x:c>
      <x:c r="E11" s="99" t="b">
        <x:v>0</x:v>
      </x:c>
    </x:row>
    <x:row r="12">
      <x:c r="A12" s="67" t="str">
        <x:v>Lat pulldown / low row machine</x:v>
      </x:c>
      <x:c r="B12" s="68" t="str">
        <x:v>Pulling and cable</x:v>
      </x:c>
      <x:c r="C12" s="68" t="str">
        <x:v>Dedicated pulldown and seated-row station.</x:v>
      </x:c>
      <x:c r="D12" s="70" t="b">
        <x:v>0</x:v>
      </x:c>
      <x:c r="E12" s="99" t="b">
        <x:v>0</x:v>
      </x:c>
    </x:row>
    <x:row r="13">
      <x:c r="A13" s="67" t="str">
        <x:v>Pull-up bar</x:v>
      </x:c>
      <x:c r="B13" s="68" t="str">
        <x:v>Pulling and cable</x:v>
      </x:c>
      <x:c r="C13" s="68" t="str">
        <x:v>Doorway, wall or rack-mounted pull-up bar.</x:v>
      </x:c>
      <x:c r="D13" s="70" t="b">
        <x:v>1</x:v>
      </x:c>
      <x:c r="E13" s="99" t="b">
        <x:v>0</x:v>
      </x:c>
    </x:row>
    <x:row r="14">
      <x:c r="A14" s="67" t="str">
        <x:v>Gymnastic rings / suspension trainer</x:v>
      </x:c>
      <x:c r="B14" s="68" t="str">
        <x:v>Pulling and cable</x:v>
      </x:c>
      <x:c r="C14" s="68" t="str">
        <x:v>Rings or suspension straps with a secure anchor.</x:v>
      </x:c>
      <x:c r="D14" s="70" t="b">
        <x:v>1</x:v>
      </x:c>
      <x:c r="E14" s="99" t="b">
        <x:v>0</x:v>
      </x:c>
    </x:row>
    <x:row r="15">
      <x:c r="A15" s="67" t="str">
        <x:v>Dip station / parallel bars</x:v>
      </x:c>
      <x:c r="B15" s="68" t="str">
        <x:v>Pulling and cable</x:v>
      </x:c>
      <x:c r="C15" s="68" t="str">
        <x:v>Parallel bars suitable for dips and support holds.</x:v>
      </x:c>
      <x:c r="D15" s="70" t="b">
        <x:v>0</x:v>
      </x:c>
      <x:c r="E15" s="99" t="b">
        <x:v>0</x:v>
      </x:c>
    </x:row>
    <x:row r="16">
      <x:c r="A16" s="67" t="str">
        <x:v>Landmine attachment</x:v>
      </x:c>
      <x:c r="B16" s="68" t="str">
        <x:v>Pulling and cable</x:v>
      </x:c>
      <x:c r="C16" s="68" t="str">
        <x:v>Pivot attachment for one end of a barbell.</x:v>
      </x:c>
      <x:c r="D16" s="70" t="b">
        <x:v>0</x:v>
      </x:c>
      <x:c r="E16" s="99" t="b">
        <x:v>0</x:v>
      </x:c>
    </x:row>
    <x:row r="17">
      <x:c r="A17" s="67" t="str">
        <x:v>Ankle strap</x:v>
      </x:c>
      <x:c r="B17" s="68" t="str">
        <x:v>Pulling and cable</x:v>
      </x:c>
      <x:c r="C17" s="68" t="str">
        <x:v>Cable or band ankle cuff.</x:v>
      </x:c>
      <x:c r="D17" s="70" t="b">
        <x:v>1</x:v>
      </x:c>
      <x:c r="E17" s="99" t="b">
        <x:v>0</x:v>
      </x:c>
    </x:row>
    <x:row r="18">
      <x:c r="A18" s="67" t="str">
        <x:v>Rope cable attachment</x:v>
      </x:c>
      <x:c r="B18" s="68" t="str">
        <x:v>Pulling and cable</x:v>
      </x:c>
      <x:c r="C18" s="68" t="str">
        <x:v>Rope handle for face pulls and arm work.</x:v>
      </x:c>
      <x:c r="D18" s="70" t="b">
        <x:v>1</x:v>
      </x:c>
      <x:c r="E18" s="99" t="b">
        <x:v>0</x:v>
      </x:c>
    </x:row>
    <x:row r="19">
      <x:c r="A19" s="67" t="str">
        <x:v>Dip belt / loading belt</x:v>
      </x:c>
      <x:c r="B19" s="68" t="str">
        <x:v>Pulling and cable</x:v>
      </x:c>
      <x:c r="C19" s="68" t="str">
        <x:v>Belt for weighted pull-ups and dips.</x:v>
      </x:c>
      <x:c r="D19" s="70" t="b">
        <x:v>0</x:v>
      </x:c>
      <x:c r="E19" s="99" t="b">
        <x:v>0</x:v>
      </x:c>
    </x:row>
    <x:row r="20">
      <x:c r="A20" s="67" t="str">
        <x:v>Smith machine</x:v>
      </x:c>
      <x:c r="B20" s="68" t="str">
        <x:v>Specialty bars and machines</x:v>
      </x:c>
      <x:c r="C20" s="68" t="str">
        <x:v>Guided barbell machine.</x:v>
      </x:c>
      <x:c r="D20" s="70" t="b">
        <x:v>0</x:v>
      </x:c>
      <x:c r="E20" s="99" t="b">
        <x:v>0</x:v>
      </x:c>
    </x:row>
    <x:row r="21">
      <x:c r="A21" s="67" t="str">
        <x:v>Trap / hex bar</x:v>
      </x:c>
      <x:c r="B21" s="68" t="str">
        <x:v>Specialty bars and machines</x:v>
      </x:c>
      <x:c r="C21" s="68" t="str">
        <x:v>Trap or hexagonal deadlift bar.</x:v>
      </x:c>
      <x:c r="D21" s="70" t="b">
        <x:v>0</x:v>
      </x:c>
      <x:c r="E21" s="99" t="b">
        <x:v>0</x:v>
      </x:c>
    </x:row>
    <x:row r="22">
      <x:c r="A22" s="67" t="str">
        <x:v>Safety squat bar</x:v>
      </x:c>
      <x:c r="B22" s="68" t="str">
        <x:v>Specialty bars and machines</x:v>
      </x:c>
      <x:c r="C22" s="68" t="str">
        <x:v>Safety squat specialty bar.</x:v>
      </x:c>
      <x:c r="D22" s="70" t="b">
        <x:v>0</x:v>
      </x:c>
      <x:c r="E22" s="99" t="b">
        <x:v>0</x:v>
      </x:c>
    </x:row>
    <x:row r="23">
      <x:c r="A23" s="67" t="str">
        <x:v>EZ curl bar</x:v>
      </x:c>
      <x:c r="B23" s="68" t="str">
        <x:v>Specialty bars and machines</x:v>
      </x:c>
      <x:c r="C23" s="68" t="str">
        <x:v>Cambered curl bar with plates.</x:v>
      </x:c>
      <x:c r="D23" s="70" t="b">
        <x:v>0</x:v>
      </x:c>
      <x:c r="E23" s="99" t="b">
        <x:v>0</x:v>
      </x:c>
    </x:row>
    <x:row r="24">
      <x:c r="A24" s="67" t="str">
        <x:v>Swiss / football bar</x:v>
      </x:c>
      <x:c r="B24" s="68" t="str">
        <x:v>Specialty bars and machines</x:v>
      </x:c>
      <x:c r="C24" s="68" t="str">
        <x:v>Neutral-grip multi-grip bar.</x:v>
      </x:c>
      <x:c r="D24" s="70" t="b">
        <x:v>0</x:v>
      </x:c>
      <x:c r="E24" s="99" t="b">
        <x:v>0</x:v>
      </x:c>
    </x:row>
    <x:row r="25">
      <x:c r="A25" s="67" t="str">
        <x:v>Chest press / pec deck machine</x:v>
      </x:c>
      <x:c r="B25" s="68" t="str">
        <x:v>Specialty bars and machines</x:v>
      </x:c>
      <x:c r="C25" s="68" t="str">
        <x:v>Selectorized chest press, pec deck or reverse pec deck.</x:v>
      </x:c>
      <x:c r="D25" s="70" t="b">
        <x:v>0</x:v>
      </x:c>
      <x:c r="E25" s="99" t="b">
        <x:v>0</x:v>
      </x:c>
    </x:row>
    <x:row r="26">
      <x:c r="A26" s="67" t="str">
        <x:v>Leg press / hack squat</x:v>
      </x:c>
      <x:c r="B26" s="68" t="str">
        <x:v>Specialty bars and machines</x:v>
      </x:c>
      <x:c r="C26" s="68" t="str">
        <x:v>Leg press or hack-squat machine.</x:v>
      </x:c>
      <x:c r="D26" s="70" t="b">
        <x:v>0</x:v>
      </x:c>
      <x:c r="E26" s="99" t="b">
        <x:v>0</x:v>
      </x:c>
    </x:row>
    <x:row r="27">
      <x:c r="A27" s="67" t="str">
        <x:v>Leg extension machine</x:v>
      </x:c>
      <x:c r="B27" s="68" t="str">
        <x:v>Specialty bars and machines</x:v>
      </x:c>
      <x:c r="C27" s="68" t="str">
        <x:v>Dedicated knee-extension machine.</x:v>
      </x:c>
      <x:c r="D27" s="70" t="b">
        <x:v>0</x:v>
      </x:c>
      <x:c r="E27" s="99" t="b">
        <x:v>0</x:v>
      </x:c>
    </x:row>
    <x:row r="28">
      <x:c r="A28" s="67" t="str">
        <x:v>Leg curl machine</x:v>
      </x:c>
      <x:c r="B28" s="68" t="str">
        <x:v>Specialty bars and machines</x:v>
      </x:c>
      <x:c r="C28" s="68" t="str">
        <x:v>Seated or lying knee-flexion machine.</x:v>
      </x:c>
      <x:c r="D28" s="70" t="b">
        <x:v>0</x:v>
      </x:c>
      <x:c r="E28" s="99" t="b">
        <x:v>0</x:v>
      </x:c>
    </x:row>
    <x:row r="29">
      <x:c r="A29" s="67" t="str">
        <x:v>Preacher curl bench</x:v>
      </x:c>
      <x:c r="B29" s="68" t="str">
        <x:v>Specialty bars and machines</x:v>
      </x:c>
      <x:c r="C29" s="68" t="str">
        <x:v>Preacher pad or curl bench.</x:v>
      </x:c>
      <x:c r="D29" s="70" t="b">
        <x:v>0</x:v>
      </x:c>
      <x:c r="E29" s="99" t="b">
        <x:v>0</x:v>
      </x:c>
    </x:row>
    <x:row r="30">
      <x:c r="A30" s="67" t="str">
        <x:v>Calf raise platform / machine</x:v>
      </x:c>
      <x:c r="B30" s="68" t="str">
        <x:v>Lower-body and accessories</x:v>
      </x:c>
      <x:c r="C30" s="68" t="str">
        <x:v>Calf block, step or dedicated calf machine.</x:v>
      </x:c>
      <x:c r="D30" s="70" t="b">
        <x:v>1</x:v>
      </x:c>
      <x:c r="E30" s="99" t="b">
        <x:v>0</x:v>
      </x:c>
    </x:row>
    <x:row r="31">
      <x:c r="A31" s="67" t="str">
        <x:v>Glute-ham developer / Nordic bench</x:v>
      </x:c>
      <x:c r="B31" s="68" t="str">
        <x:v>Lower-body and accessories</x:v>
      </x:c>
      <x:c r="C31" s="68" t="str">
        <x:v>GHD or secure Nordic-curl station.</x:v>
      </x:c>
      <x:c r="D31" s="70" t="b">
        <x:v>0</x:v>
      </x:c>
      <x:c r="E31" s="99" t="b">
        <x:v>0</x:v>
      </x:c>
    </x:row>
    <x:row r="32">
      <x:c r="A32" s="67" t="str">
        <x:v>Plyo box / aerobic step</x:v>
      </x:c>
      <x:c r="B32" s="68" t="str">
        <x:v>Lower-body and accessories</x:v>
      </x:c>
      <x:c r="C32" s="68" t="str">
        <x:v>Stable box, step or platform.</x:v>
      </x:c>
      <x:c r="D32" s="70" t="b">
        <x:v>0</x:v>
      </x:c>
      <x:c r="E32" s="99" t="b">
        <x:v>0</x:v>
      </x:c>
    </x:row>
    <x:row r="33">
      <x:c r="A33" s="67" t="str">
        <x:v>Slant board / heel wedge</x:v>
      </x:c>
      <x:c r="B33" s="68" t="str">
        <x:v>Lower-body and accessories</x:v>
      </x:c>
      <x:c r="C33" s="68" t="str">
        <x:v>Wedge for heel-elevated squats or calf work.</x:v>
      </x:c>
      <x:c r="D33" s="70" t="b">
        <x:v>0</x:v>
      </x:c>
      <x:c r="E33" s="99" t="b">
        <x:v>0</x:v>
      </x:c>
    </x:row>
    <x:row r="34">
      <x:c r="A34" s="67" t="str">
        <x:v>Ab wheel</x:v>
      </x:c>
      <x:c r="B34" s="68" t="str">
        <x:v>Lower-body and accessories</x:v>
      </x:c>
      <x:c r="C34" s="68" t="str">
        <x:v>Abdominal rollout wheel.</x:v>
      </x:c>
      <x:c r="D34" s="70" t="b">
        <x:v>1</x:v>
      </x:c>
      <x:c r="E34" s="99" t="b">
        <x:v>0</x:v>
      </x:c>
    </x:row>
    <x:row r="35">
      <x:c r="A35" s="67" t="str">
        <x:v>Stability ball</x:v>
      </x:c>
      <x:c r="B35" s="68" t="str">
        <x:v>Lower-body and accessories</x:v>
      </x:c>
      <x:c r="C35" s="68" t="str">
        <x:v>Swiss or stability ball.</x:v>
      </x:c>
      <x:c r="D35" s="70" t="b">
        <x:v>0</x:v>
      </x:c>
      <x:c r="E35" s="99" t="b">
        <x:v>0</x:v>
      </x:c>
    </x:row>
    <x:row r="36">
      <x:c r="A36" s="67" t="str">
        <x:v>Weighted vest</x:v>
      </x:c>
      <x:c r="B36" s="68" t="str">
        <x:v>Lower-body and accessories</x:v>
      </x:c>
      <x:c r="C36" s="68" t="str">
        <x:v>Loadable vest.</x:v>
      </x:c>
      <x:c r="D36" s="70" t="b">
        <x:v>0</x:v>
      </x:c>
      <x:c r="E36" s="99" t="b">
        <x:v>0</x:v>
      </x:c>
    </x:row>
    <x:row r="37">
      <x:c r="A37" s="67" t="str">
        <x:v>Medicine ball</x:v>
      </x:c>
      <x:c r="B37" s="68" t="str">
        <x:v>Lower-body and accessories</x:v>
      </x:c>
      <x:c r="C37" s="68" t="str">
        <x:v>Medicine or slam ball.</x:v>
      </x:c>
      <x:c r="D37" s="70" t="b">
        <x:v>0</x:v>
      </x:c>
      <x:c r="E37" s="99" t="b">
        <x:v>0</x:v>
      </x:c>
    </x:row>
    <x:row r="38">
      <x:c r="A38" s="67" t="str">
        <x:v>Sandbag</x:v>
      </x:c>
      <x:c r="B38" s="68" t="str">
        <x:v>Lower-body and accessories</x:v>
      </x:c>
      <x:c r="C38" s="68" t="str">
        <x:v>Loadable training sandbag.</x:v>
      </x:c>
      <x:c r="D38" s="70" t="b">
        <x:v>0</x:v>
      </x:c>
      <x:c r="E38" s="99" t="b">
        <x:v>0</x:v>
      </x:c>
    </x:row>
    <x:row r="39">
      <x:c r="A39" s="67" t="str">
        <x:v>Treadmill</x:v>
      </x:c>
      <x:c r="B39" s="68" t="str">
        <x:v>Cardio and conditioning</x:v>
      </x:c>
      <x:c r="C39" s="68" t="str">
        <x:v>Motorized or manual treadmill.</x:v>
      </x:c>
      <x:c r="D39" s="70" t="b">
        <x:v>0</x:v>
      </x:c>
      <x:c r="E39" s="99" t="b">
        <x:v>0</x:v>
      </x:c>
    </x:row>
    <x:row r="40">
      <x:c r="A40" s="67" t="str">
        <x:v>Exercise bike</x:v>
      </x:c>
      <x:c r="B40" s="68" t="str">
        <x:v>Cardio and conditioning</x:v>
      </x:c>
      <x:c r="C40" s="68" t="str">
        <x:v>Upright, recumbent or spin bike.</x:v>
      </x:c>
      <x:c r="D40" s="70" t="b">
        <x:v>0</x:v>
      </x:c>
      <x:c r="E40" s="99" t="b">
        <x:v>0</x:v>
      </x:c>
    </x:row>
    <x:row r="41">
      <x:c r="A41" s="67" t="str">
        <x:v>Rowing machine</x:v>
      </x:c>
      <x:c r="B41" s="68" t="str">
        <x:v>Cardio and conditioning</x:v>
      </x:c>
      <x:c r="C41" s="68" t="str">
        <x:v>Indoor rowing ergometer.</x:v>
      </x:c>
      <x:c r="D41" s="70" t="b">
        <x:v>0</x:v>
      </x:c>
      <x:c r="E41" s="99" t="b">
        <x:v>0</x:v>
      </x:c>
    </x:row>
    <x:row r="42">
      <x:c r="A42" s="67" t="str">
        <x:v>Elliptical / cross trainer</x:v>
      </x:c>
      <x:c r="B42" s="68" t="str">
        <x:v>Cardio and conditioning</x:v>
      </x:c>
      <x:c r="C42" s="68" t="str">
        <x:v>Elliptical trainer.</x:v>
      </x:c>
      <x:c r="D42" s="70" t="b">
        <x:v>0</x:v>
      </x:c>
      <x:c r="E42" s="99" t="b">
        <x:v>0</x:v>
      </x:c>
    </x:row>
    <x:row r="43">
      <x:c r="A43" s="67" t="str">
        <x:v>Jump rope</x:v>
      </x:c>
      <x:c r="B43" s="68" t="str">
        <x:v>Cardio and conditioning</x:v>
      </x:c>
      <x:c r="C43" s="68" t="str">
        <x:v>Skipping rope.</x:v>
      </x:c>
      <x:c r="D43" s="70" t="b">
        <x:v>0</x:v>
      </x:c>
      <x:c r="E43" s="99" t="b">
        <x:v>0</x:v>
      </x:c>
    </x:row>
    <x:row r="44">
      <x:c r="A44" s="77" t="str">
        <x:v>Weight sled / prowler</x:v>
      </x:c>
      <x:c r="B44" s="78" t="str">
        <x:v>Cardio and conditioning</x:v>
      </x:c>
      <x:c r="C44" s="78" t="str">
        <x:v>Push-pull sled with usable floor space.</x:v>
      </x:c>
      <x:c r="D44" s="81" t="b">
        <x:v>0</x:v>
      </x:c>
      <x:c r="E44" s="100" t="b">
        <x:v>0</x:v>
      </x:c>
    </x:row>
  </x:sheetData>
  <x:dataValidations count="2">
    <x:dataValidation type="list" sqref="D2:D44">
      <x:formula1>"true,false"</x:formula1>
    </x:dataValidation>
    <x:dataValidation type="list" sqref="E2:E44">
      <x:formula1>"true,false"</x:formula1>
    </x:dataValidation>
  </x:dataValidations>
  <x:pageMargins left="0.7" right="0.7" top="0.75" bottom="0.75" header="0.3" footer="0.3"/>
</x:worksheet>
</file>