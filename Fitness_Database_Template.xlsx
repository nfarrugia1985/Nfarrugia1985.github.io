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tart_Her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ettings" sheetId="3" state="visible" r:id="rId3"/>
    <sheet xmlns:r="http://schemas.openxmlformats.org/officeDocument/2006/relationships" name="Programs" sheetId="4" state="visible" r:id="rId4"/>
    <sheet xmlns:r="http://schemas.openxmlformats.org/officeDocument/2006/relationships" name="Exercise_Cache" sheetId="5" state="visible" r:id="rId5"/>
    <sheet xmlns:r="http://schemas.openxmlformats.org/officeDocument/2006/relationships" name="Alternatives" sheetId="6" state="visible" r:id="rId6"/>
    <sheet xmlns:r="http://schemas.openxmlformats.org/officeDocument/2006/relationships" name="Ingredient_Cache" sheetId="7" state="visible" r:id="rId7"/>
    <sheet xmlns:r="http://schemas.openxmlformats.org/officeDocument/2006/relationships" name="Recipes" sheetId="8" state="visible" r:id="rId8"/>
    <sheet xmlns:r="http://schemas.openxmlformats.org/officeDocument/2006/relationships" name="Recipe_Ingredients" sheetId="9" state="visible" r:id="rId9"/>
    <sheet xmlns:r="http://schemas.openxmlformats.org/officeDocument/2006/relationships" name="Workout_Sessions" sheetId="10" state="visible" r:id="rId10"/>
    <sheet xmlns:r="http://schemas.openxmlformats.org/officeDocument/2006/relationships" name="Workout_Sets" sheetId="11" state="visible" r:id="rId11"/>
    <sheet xmlns:r="http://schemas.openxmlformats.org/officeDocument/2006/relationships" name="Food_Log" sheetId="12" state="visible" r:id="rId12"/>
    <sheet xmlns:r="http://schemas.openxmlformats.org/officeDocument/2006/relationships" name="Body_Metrics" sheetId="13" state="visible" r:id="rId13"/>
    <sheet xmlns:r="http://schemas.openxmlformats.org/officeDocument/2006/relationships" name="Daily_Checkins" sheetId="14" state="visible" r:id="rId14"/>
    <sheet xmlns:r="http://schemas.openxmlformats.org/officeDocument/2006/relationships" name="Diet_Phases" sheetId="15" state="visible" r:id="rId15"/>
    <sheet xmlns:r="http://schemas.openxmlformats.org/officeDocument/2006/relationships" name="Cardio_Log" sheetId="16" state="visible" r:id="rId16"/>
    <sheet xmlns:r="http://schemas.openxmlformats.org/officeDocument/2006/relationships" name="Progress_Photos" sheetId="17" state="visible" r:id="rId17"/>
    <sheet xmlns:r="http://schemas.openxmlformats.org/officeDocument/2006/relationships" name="Sync_Config" sheetId="18" state="visible" r:id="rId18"/>
    <sheet xmlns:r="http://schemas.openxmlformats.org/officeDocument/2006/relationships" name="App_State" sheetId="19" state="visible" r:id="rId19"/>
    <sheet xmlns:r="http://schemas.openxmlformats.org/officeDocument/2006/relationships" name="Weekly_Review" sheetId="20" state="visible" r:id="rId20"/>
    <sheet xmlns:r="http://schemas.openxmlformats.org/officeDocument/2006/relationships" name="Lookup" sheetId="21" state="visible" r:id="rId21"/>
    <sheet xmlns:r="http://schemas.openxmlformats.org/officeDocument/2006/relationships" name="Equipment_Catalog" sheetId="22" state="visible" r:id="rId22"/>
  </sheets>
  <definedNames>
    <definedName name="_xlnm._FilterDatabase" localSheetId="6" hidden="1">'Ingredient_Cache'!$A$1:$V$225</definedName>
  </definedNames>
</workbook>
</file>

<file path=xl/styles.xml><?xml version="1.0" encoding="utf-8"?>
<styleSheet xmlns="http://schemas.openxmlformats.org/spreadsheetml/2006/main">
  <numFmts count="4">
    <numFmt numFmtId="164" formatCode="0.0"/>
    <numFmt numFmtId="165" formatCode="dd-mmm"/>
    <numFmt numFmtId="166" formatCode="yyyy-mm-dd"/>
    <numFmt numFmtId="167" formatCode="yyyy-mm-dd hh:mm"/>
  </numFmts>
  <fonts count="8">
    <font>
      <name val="Carlito"/>
      <sz val="11"/>
    </font>
    <font>
      <name val="Carlito"/>
      <b val="1"/>
      <color rgb="FFFFFFFF"/>
      <sz val="18"/>
    </font>
    <font>
      <name val="Carlito"/>
      <b val="1"/>
      <color rgb="FF064E3B"/>
      <sz val="11"/>
    </font>
    <font>
      <name val="Carlito"/>
      <b val="1"/>
      <color rgb="FFFFFFFF"/>
      <sz val="11"/>
    </font>
    <font>
      <name val="Carlito"/>
      <b val="1"/>
      <color rgb="FF10221F"/>
      <sz val="15"/>
    </font>
    <font>
      <name val="Carlito"/>
      <b val="1"/>
      <color rgb="FFFFFFFF"/>
      <sz val="16"/>
    </font>
    <font>
      <name val="Carlito"/>
      <b val="1"/>
      <color rgb="FF134E4A"/>
      <sz val="11"/>
    </font>
    <font>
      <name val="Carlito"/>
      <sz val="10"/>
    </font>
  </fonts>
  <fills count="10">
    <fill>
      <patternFill/>
    </fill>
    <fill>
      <patternFill patternType="gray125"/>
    </fill>
    <fill>
      <patternFill patternType="solid">
        <fgColor rgb="FF064E3B"/>
      </patternFill>
    </fill>
    <fill>
      <patternFill patternType="solid">
        <fgColor rgb="FFE6F4F1"/>
      </patternFill>
    </fill>
    <fill>
      <patternFill patternType="solid">
        <fgColor rgb="FF0F766E"/>
      </patternFill>
    </fill>
    <fill>
      <patternFill patternType="solid">
        <fgColor rgb="FFFFFFFF"/>
      </patternFill>
    </fill>
    <fill>
      <patternFill patternType="solid">
        <fgColor rgb="FF0F766E"/>
      </patternFill>
    </fill>
    <fill>
      <patternFill patternType="solid">
        <fgColor rgb="FFDFF4EF"/>
      </patternFill>
    </fill>
    <fill>
      <patternFill patternType="solid">
        <fgColor rgb="FF0F766E"/>
      </patternFill>
    </fill>
    <fill>
      <patternFill patternType="solid">
        <fgColor rgb="FFDFF4EF"/>
      </patternFill>
    </fill>
  </fills>
  <borders count="10">
    <border/>
    <border/>
    <border/>
    <border/>
    <border/>
    <border/>
    <border/>
    <border/>
    <border/>
    <border/>
  </borders>
  <cellStyleXfs count="1">
    <xf numFmtId="0" fontId="0" fillId="0" borderId="9"/>
  </cellStyleXfs>
  <cellXfs count="17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horizontal="right"/>
    </xf>
    <xf numFmtId="0" fontId="4" fillId="5" borderId="0" applyAlignment="1" pivotButton="0" quotePrefix="0" xfId="0">
      <alignment horizontal="right" vertical="center"/>
    </xf>
    <xf numFmtId="0" fontId="0" fillId="5" borderId="1" pivotButton="0" quotePrefix="0" xfId="0"/>
    <xf numFmtId="0" fontId="4" fillId="5" borderId="1" pivotButton="0" quotePrefix="0" xfId="0"/>
    <xf numFmtId="0" fontId="4" fillId="5" borderId="1" applyAlignment="1" pivotButton="0" quotePrefix="0" xfId="0">
      <alignment horizontal="right"/>
    </xf>
    <xf numFmtId="0" fontId="4" fillId="5" borderId="1" applyAlignment="1" pivotButton="0" quotePrefix="0" xfId="0">
      <alignment horizontal="right" vertical="center"/>
    </xf>
    <xf numFmtId="164" fontId="4" fillId="5" borderId="0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165" fontId="0" fillId="0" borderId="0" pivotButton="0" quotePrefix="0" xfId="0"/>
    <xf numFmtId="165" fontId="0" fillId="0" borderId="1" pivotButton="0" quotePrefix="0" xfId="0"/>
    <xf numFmtId="0" fontId="0" fillId="0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pivotButton="0" quotePrefix="0" xfId="0"/>
    <xf numFmtId="164" fontId="0" fillId="0" borderId="1" pivotButton="0" quotePrefix="0" xfId="0"/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6" fontId="3" fillId="4" borderId="0" applyAlignment="1" pivotButton="0" quotePrefix="0" xfId="0">
      <alignment horizontal="center" vertical="center" wrapText="1"/>
    </xf>
    <xf numFmtId="166" fontId="3" fillId="4" borderId="1" applyAlignment="1" pivotButton="0" quotePrefix="0" xfId="0">
      <alignment horizontal="center" vertical="center" wrapText="1"/>
    </xf>
    <xf numFmtId="166" fontId="0" fillId="0" borderId="0" pivotButton="0" quotePrefix="0" xfId="0"/>
    <xf numFmtId="166" fontId="0" fillId="0" borderId="1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6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2" fillId="7" borderId="0" applyAlignment="1" pivotButton="0" quotePrefix="0" xfId="0">
      <alignment vertical="center"/>
    </xf>
    <xf numFmtId="0" fontId="0" fillId="7" borderId="0" pivotButton="0" quotePrefix="0" xfId="0"/>
    <xf numFmtId="0" fontId="6" fillId="7" borderId="0" applyAlignment="1" pivotButton="0" quotePrefix="0" xfId="0">
      <alignment vertical="center"/>
    </xf>
    <xf numFmtId="0" fontId="6" fillId="7" borderId="0" pivotButton="0" quotePrefix="0" xfId="0"/>
    <xf numFmtId="0" fontId="5" fillId="6" borderId="0" applyAlignment="1" pivotButton="0" quotePrefix="0" xfId="0">
      <alignment horizontal="left" vertical="center" wrapText="1"/>
    </xf>
    <xf numFmtId="0" fontId="6" fillId="7" borderId="0" applyAlignment="1" pivotButton="0" quotePrefix="0" xfId="0">
      <alignment vertical="center" wrapText="1"/>
    </xf>
    <xf numFmtId="0" fontId="6" fillId="7" borderId="0" applyAlignment="1" pivotButton="0" quotePrefix="0" xfId="0">
      <alignment wrapText="1"/>
    </xf>
    <xf numFmtId="0" fontId="3" fillId="6" borderId="0" applyAlignment="1" pivotButton="0" quotePrefix="0" xfId="0">
      <alignment horizontal="center" vertical="center" wrapText="1"/>
    </xf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7" fontId="0" fillId="0" borderId="4" applyAlignment="1" pivotButton="0" quotePrefix="0" xfId="0">
      <alignment wrapText="1"/>
    </xf>
    <xf numFmtId="167" fontId="0" fillId="0" borderId="6" applyAlignment="1" pivotButton="0" quotePrefix="0" xfId="0">
      <alignment wrapText="1"/>
    </xf>
    <xf numFmtId="167" fontId="0" fillId="0" borderId="9" applyAlignment="1" pivotButton="0" quotePrefix="0" xfId="0">
      <alignment wrapText="1"/>
    </xf>
    <xf numFmtId="0" fontId="0" fillId="6" borderId="0" pivotButton="0" quotePrefix="0" xfId="0"/>
    <xf numFmtId="0" fontId="3" fillId="6" borderId="0" pivotButton="0" quotePrefix="0" xfId="0"/>
    <xf numFmtId="0" fontId="3" fillId="6" borderId="0" applyAlignment="1" pivotButton="0" quotePrefix="0" xfId="0">
      <alignment horizontal="center"/>
    </xf>
    <xf numFmtId="0" fontId="3" fillId="6" borderId="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0" pivotButton="0" quotePrefix="0" xfId="0"/>
    <xf numFmtId="0" fontId="0" fillId="0" borderId="8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9" pivotButton="0" quotePrefix="0" xfId="0"/>
    <xf numFmtId="0" fontId="0" fillId="0" borderId="4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167" fontId="0" fillId="0" borderId="3" applyAlignment="1" pivotButton="0" quotePrefix="0" xfId="0">
      <alignment wrapText="1"/>
    </xf>
    <xf numFmtId="167" fontId="0" fillId="0" borderId="0" pivotButton="0" quotePrefix="0" xfId="0"/>
    <xf numFmtId="167" fontId="0" fillId="0" borderId="8" pivotButton="0" quotePrefix="0" xfId="0"/>
    <xf numFmtId="0" fontId="1" fillId="4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167" fontId="0" fillId="0" borderId="0" applyAlignment="1" pivotButton="0" quotePrefix="0" xfId="0">
      <alignment wrapText="1"/>
    </xf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167" fontId="0" fillId="0" borderId="0" pivotButton="0" quotePrefix="0" xfId="0"/>
    <xf numFmtId="0" fontId="5" fillId="8" borderId="0" applyAlignment="1" pivotButton="0" quotePrefix="0" xfId="0">
      <alignment horizontal="left" vertical="center" wrapText="1"/>
    </xf>
    <xf numFmtId="0" fontId="6" fillId="9" borderId="0" applyAlignment="1" pivotButton="0" quotePrefix="0" xfId="0">
      <alignment vertical="center" wrapText="1"/>
    </xf>
    <xf numFmtId="0" fontId="6" fillId="9" borderId="0" applyAlignment="1" pivotButton="0" quotePrefix="0" xfId="0">
      <alignment wrapText="1"/>
    </xf>
    <xf numFmtId="0" fontId="0" fillId="9" borderId="0" pivotButton="0" quotePrefix="0" xfId="0"/>
    <xf numFmtId="0" fontId="6" fillId="9" borderId="0" pivotButton="0" quotePrefix="0" xfId="0"/>
    <xf numFmtId="0" fontId="6" fillId="9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8" borderId="0" applyAlignment="1" pivotButton="0" quotePrefix="0" xfId="0">
      <alignment horizontal="center" vertical="center" wrapText="1"/>
    </xf>
    <xf numFmtId="0" fontId="7" fillId="0" borderId="2" applyAlignment="1" pivotButton="0" quotePrefix="0" xfId="0">
      <alignment wrapText="1"/>
    </xf>
    <xf numFmtId="0" fontId="7" fillId="0" borderId="3" applyAlignment="1" pivotButton="0" quotePrefix="0" xfId="0">
      <alignment wrapText="1"/>
    </xf>
    <xf numFmtId="0" fontId="7" fillId="0" borderId="4" applyAlignment="1" pivotButton="0" quotePrefix="0" xfId="0">
      <alignment wrapText="1"/>
    </xf>
    <xf numFmtId="0" fontId="7" fillId="0" borderId="5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7" fillId="0" borderId="6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7" fillId="0" borderId="7" applyAlignment="1" pivotButton="0" quotePrefix="0" xfId="0">
      <alignment wrapText="1"/>
    </xf>
    <xf numFmtId="0" fontId="7" fillId="0" borderId="8" applyAlignment="1" pivotButton="0" quotePrefix="0" xfId="0">
      <alignment wrapText="1"/>
    </xf>
    <xf numFmtId="0" fontId="7" fillId="0" borderId="9" applyAlignment="1" pivotButton="0" quotePrefix="0" xfId="0">
      <alignment wrapText="1"/>
    </xf>
    <xf numFmtId="0" fontId="7" fillId="0" borderId="0" pivotButton="0" quotePrefix="0" xfId="0"/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7" fillId="0" borderId="2" applyAlignment="1" pivotButton="0" quotePrefix="0" xfId="0">
      <alignment vertical="top" wrapText="1"/>
    </xf>
    <xf numFmtId="0" fontId="7" fillId="0" borderId="3" applyAlignment="1" pivotButton="0" quotePrefix="0" xfId="0">
      <alignment vertical="top" wrapText="1"/>
    </xf>
    <xf numFmtId="0" fontId="7" fillId="0" borderId="4" applyAlignment="1" pivotButton="0" quotePrefix="0" xfId="0">
      <alignment vertical="top" wrapText="1"/>
    </xf>
    <xf numFmtId="0" fontId="7" fillId="0" borderId="5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7" fillId="0" borderId="6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7" fillId="0" borderId="7" applyAlignment="1" pivotButton="0" quotePrefix="0" xfId="0">
      <alignment vertical="top" wrapText="1"/>
    </xf>
    <xf numFmtId="0" fontId="7" fillId="0" borderId="8" applyAlignment="1" pivotButton="0" quotePrefix="0" xfId="0">
      <alignment vertical="top" wrapText="1"/>
    </xf>
    <xf numFmtId="0" fontId="7" fillId="0" borderId="9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0" fillId="8" borderId="0" pivotButton="0" quotePrefix="0" xfId="0"/>
    <xf numFmtId="0" fontId="3" fillId="8" borderId="0" pivotButton="0" quotePrefix="0" xfId="0"/>
    <xf numFmtId="0" fontId="3" fillId="8" borderId="0" applyAlignment="1" pivotButton="0" quotePrefix="0" xfId="0">
      <alignment wrapText="1"/>
    </xf>
    <xf numFmtId="0" fontId="3" fillId="8" borderId="0" applyAlignment="1" pivotButton="0" quotePrefix="0" xfId="0">
      <alignment horizontal="center" wrapText="1"/>
    </xf>
    <xf numFmtId="164" fontId="7" fillId="0" borderId="0" applyAlignment="1" pivotButton="0" quotePrefix="0" xfId="0">
      <alignment wrapText="1"/>
    </xf>
    <xf numFmtId="164" fontId="7" fillId="0" borderId="0" applyAlignment="1" pivotButton="0" quotePrefix="0" xfId="0">
      <alignment vertical="top" wrapText="1"/>
    </xf>
    <xf numFmtId="167" fontId="7" fillId="0" borderId="3" applyAlignment="1" pivotButton="0" quotePrefix="0" xfId="0">
      <alignment wrapText="1"/>
    </xf>
    <xf numFmtId="0" fontId="7" fillId="0" borderId="5" pivotButton="0" quotePrefix="0" xfId="0"/>
    <xf numFmtId="0" fontId="7" fillId="0" borderId="0" pivotButton="0" quotePrefix="0" xfId="0"/>
    <xf numFmtId="167" fontId="7" fillId="0" borderId="0" pivotButton="0" quotePrefix="0" xfId="0"/>
    <xf numFmtId="0" fontId="7" fillId="0" borderId="6" pivotButton="0" quotePrefix="0" xfId="0"/>
    <xf numFmtId="167" fontId="7" fillId="0" borderId="0" applyAlignment="1" pivotButton="0" quotePrefix="0" xfId="0">
      <alignment wrapText="1"/>
    </xf>
    <xf numFmtId="167" fontId="7" fillId="0" borderId="3" applyAlignment="1" pivotButton="0" quotePrefix="0" xfId="0">
      <alignment vertical="top" wrapText="1"/>
    </xf>
    <xf numFmtId="167" fontId="7" fillId="0" borderId="0" applyAlignment="1" pivotButton="0" quotePrefix="0" xfId="0">
      <alignment vertical="top" wrapText="1"/>
    </xf>
    <xf numFmtId="167" fontId="7" fillId="0" borderId="0" applyAlignment="1" pivotButton="0" quotePrefix="0" xfId="0">
      <alignment wrapText="1"/>
    </xf>
    <xf numFmtId="167" fontId="7" fillId="0" borderId="0" applyAlignment="1" pivotButton="0" quotePrefix="0" xfId="0">
      <alignment vertical="top" wrapText="1"/>
    </xf>
    <xf numFmtId="2" fontId="7" fillId="0" borderId="0" applyAlignment="1" pivotButton="0" quotePrefix="0" xfId="0">
      <alignment vertical="top" wrapText="1"/>
    </xf>
    <xf numFmtId="0" fontId="7" fillId="0" borderId="8" applyAlignment="1" pivotButton="0" quotePrefix="0" xfId="0">
      <alignment vertical="top" wrapText="1"/>
    </xf>
    <xf numFmtId="0" fontId="1" fillId="2" borderId="9" applyAlignment="1" pivotButton="0" quotePrefix="0" xfId="0">
      <alignment horizontal="left" vertical="center"/>
    </xf>
    <xf numFmtId="164" fontId="4" fillId="5" borderId="0" applyAlignment="1" pivotButton="0" quotePrefix="0" xfId="0">
      <alignment horizontal="right" vertical="center"/>
    </xf>
    <xf numFmtId="0" fontId="2" fillId="3" borderId="9" applyAlignment="1" pivotButton="0" quotePrefix="0" xfId="0">
      <alignment vertical="center"/>
    </xf>
    <xf numFmtId="165" fontId="0" fillId="0" borderId="0" pivotButton="0" quotePrefix="0" xfId="0"/>
    <xf numFmtId="167" fontId="0" fillId="0" borderId="4" applyAlignment="1" pivotButton="0" quotePrefix="0" xfId="0">
      <alignment wrapText="1"/>
    </xf>
    <xf numFmtId="167" fontId="0" fillId="0" borderId="6" applyAlignment="1" pivotButton="0" quotePrefix="0" xfId="0">
      <alignment wrapText="1"/>
    </xf>
    <xf numFmtId="167" fontId="0" fillId="0" borderId="9" applyAlignment="1" pivotButton="0" quotePrefix="0" xfId="0">
      <alignment wrapText="1"/>
    </xf>
    <xf numFmtId="2" fontId="7" fillId="0" borderId="9" applyAlignment="1" pivotButton="0" quotePrefix="0" xfId="0">
      <alignment vertical="top" wrapText="1"/>
    </xf>
    <xf numFmtId="167" fontId="7" fillId="0" borderId="9" applyAlignment="1" pivotButton="0" quotePrefix="0" xfId="0">
      <alignment vertical="top" wrapText="1"/>
    </xf>
    <xf numFmtId="2" fontId="7" fillId="0" borderId="0" applyAlignment="1" pivotButton="0" quotePrefix="0" xfId="0">
      <alignment vertical="top" wrapText="1"/>
    </xf>
    <xf numFmtId="167" fontId="7" fillId="0" borderId="0" applyAlignment="1" pivotButton="0" quotePrefix="0" xfId="0">
      <alignment vertical="top" wrapText="1"/>
    </xf>
    <xf numFmtId="166" fontId="3" fillId="4" borderId="0" applyAlignment="1" pivotButton="0" quotePrefix="0" xfId="0">
      <alignment horizontal="center" vertical="center" wrapText="1"/>
    </xf>
    <xf numFmtId="167" fontId="7" fillId="0" borderId="3" applyAlignment="1" pivotButton="0" quotePrefix="0" xfId="0">
      <alignment vertical="top" wrapText="1"/>
    </xf>
    <xf numFmtId="167" fontId="0" fillId="0" borderId="8" pivotButton="0" quotePrefix="0" xfId="0"/>
    <xf numFmtId="166" fontId="0" fillId="0" borderId="0" pivotButton="0" quotePrefix="0" xfId="0"/>
  </cellXfs>
  <cellStyles count="1">
    <cellStyle name="Normal" xfId="0"/>
  </cellStyles>
  <dxfs count="4">
    <dxf>
      <fill>
        <patternFill>
          <bgColor rgb="FFDCFCE7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color rgb="FF166534"/>
      </font>
      <fill>
        <patternFill patternType="solid">
          <bgColor rgb="FFDCFC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Weekly training volume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v>Volume kg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'Dashboard'!$A$15:$A$22</f>
              <strCache>
                <ptCount val="0"/>
              </strCache>
            </strRef>
          </cat>
          <val>
            <numRef>
              <f>'Dashboard'!$B$15:$B$22</f>
              <numCache>
                <formatCode>General</formatCode>
                <ptCount val="0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dd-mmm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4</col>
      <colOff>0</colOff>
      <row>12</row>
      <rowOff>0</rowOff>
    </from>
    <to>
      <col>12</col>
      <colOff>0</colOff>
      <row>28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5" customWidth="1" style="91" min="1" max="1"/>
    <col width="92" customWidth="1" style="91" min="2" max="2"/>
  </cols>
  <sheetData>
    <row r="1" ht="34" customHeight="1" s="91">
      <c r="A1" s="111" t="inlineStr">
        <is>
          <t>Lift &amp; Cut 2.3.8</t>
        </is>
      </c>
      <c r="B1" s="111" t="inlineStr">
        <is>
          <t>Recipe Validation Update · Mobile App + Google Sheets Database</t>
        </is>
      </c>
      <c r="C1" s="5" t="n"/>
      <c r="D1" s="5" t="n"/>
      <c r="E1" s="5" t="n"/>
      <c r="F1" s="5" t="n"/>
    </row>
    <row r="2" ht="15" customHeight="1" s="91">
      <c r="A2" s="70" t="n"/>
      <c r="B2" s="70" t="n"/>
    </row>
    <row r="3" ht="26.39999961853027" customHeight="1" s="91">
      <c r="A3" s="116" t="inlineStr">
        <is>
          <t>What this is</t>
        </is>
      </c>
      <c r="B3" s="117" t="inlineStr">
        <is>
          <t>A mobile-first fitness tracker plus a normalized spreadsheet database. The phone app remains the main interface; this workbook is the cloud database, review tool, and manual-edit interface.</t>
        </is>
      </c>
    </row>
    <row r="4" ht="26.39999961853027" customHeight="1" s="91">
      <c r="A4" s="116" t="inlineStr">
        <is>
          <t>Recipe import</t>
        </is>
      </c>
      <c r="B4" s="117" t="inlineStr">
        <is>
          <t>Import supported recipe URLs, pasted text, or DRM-free EPUB cookbooks. v2.3.8 adds audited EPUB title extraction, conservative method detection, editable batch review, and broader ingredient/unit support.</t>
        </is>
      </c>
    </row>
    <row r="5" ht="26.39999961853027" customHeight="1" s="91">
      <c r="A5" s="116" t="inlineStr">
        <is>
          <t>Nutrition calculation</t>
        </is>
      </c>
      <c r="B5" s="117" t="inlineStr">
        <is>
          <t>Recipe nutrition is calculated from matched ingredient records. Confirmed package-label values take priority; USDA FoodData Central and Open Food Facts can be searched through the app when the v2.3 backend is deployed.</t>
        </is>
      </c>
    </row>
    <row r="6" ht="26.39999961853027" customHeight="1" s="91">
      <c r="A6" s="116" t="inlineStr">
        <is>
          <t>First setup</t>
        </is>
      </c>
      <c r="B6" s="117" t="inlineStr">
        <is>
          <t>1) Import this workbook into Google Sheets. 2) Open Extensions &gt; Apps Script. 3) Paste the v2.3 Code.gs. 4) Run initialiseFitnessDatabase. 5) Deploy as a Web App. 6) Enter the /exec URL and private key in the phone app.</t>
        </is>
      </c>
    </row>
    <row r="7" ht="26.39999961853027" customHeight="1" s="91">
      <c r="A7" s="116" t="inlineStr">
        <is>
          <t>Existing installation</t>
        </is>
      </c>
      <c r="B7" s="117" t="inlineStr">
        <is>
          <t>Replace Code.gs with the v2.3 script, save, run initialiseFitnessDatabase, then edit the existing web-app deployment and select New version. The private key remains unchanged.</t>
        </is>
      </c>
    </row>
    <row r="8" ht="26.39999961853027" customHeight="1" s="91">
      <c r="A8" s="116" t="inlineStr">
        <is>
          <t>Optional USDA key</t>
        </is>
      </c>
      <c r="B8" s="117" t="inlineStr">
        <is>
          <t>Lift &amp; Cut can use the rate-limited USDA DEMO_KEY. For more reference searches, use Lift &amp; Cut &gt; Set USDA FoodData Central API key. The key is stored privately in Apps Script properties, not in this workbook.</t>
        </is>
      </c>
    </row>
    <row r="9" ht="26.39999961853027" customHeight="1" s="91">
      <c r="A9" s="116" t="inlineStr">
        <is>
          <t>Ingredient review</t>
        </is>
      </c>
      <c r="B9" s="117" t="inlineStr">
        <is>
          <t>The starter cache now contains 224 generic reference foods. Imported foods remain labelled Confirmed, Likely, Needs unit conversion, Choose alternative, or Unmatched; verify package labels and measured portions before relying on calculated macros.</t>
        </is>
      </c>
    </row>
    <row r="10" ht="26.39999961853027" customHeight="1" s="91">
      <c r="A10" s="116" t="inlineStr">
        <is>
          <t>Equipment-aware training</t>
        </is>
      </c>
      <c r="B10" s="117" t="inlineStr">
        <is>
          <t>Select equipment in the phone app or Equipment_Catalog. Exercise choices, substitutions, workout warnings, and equipment-matched program copies use structured equipment requirements.</t>
        </is>
      </c>
    </row>
    <row r="11" ht="26.39999961853027" customHeight="1" s="91">
      <c r="A11" s="116" t="inlineStr">
        <is>
          <t>Normal workflow</t>
        </is>
      </c>
      <c r="B11" s="117" t="inlineStr">
        <is>
          <t>Log workouts, food, recipes, measurements, check-ins, cardio, and diet phases in the phone app. Push to Sheets for cloud backup and spreadsheet review.</t>
        </is>
      </c>
    </row>
    <row r="12" ht="26.39999961853027" customHeight="1" s="91">
      <c r="A12" s="116" t="inlineStr">
        <is>
          <t>Conflict safety</t>
        </is>
      </c>
      <c r="B12" s="117" t="inlineStr">
        <is>
          <t>The backend uses cloud revisions. If both the spreadsheet and phone changed, the app blocks a normal push until you pull and merge or deliberately force the phone copy.</t>
        </is>
      </c>
    </row>
    <row r="13" ht="26.39999961853027" customHeight="1" s="91">
      <c r="A13" s="116" t="inlineStr">
        <is>
          <t>Photos</t>
        </is>
      </c>
      <c r="B13" s="117" t="inlineStr">
        <is>
          <t>Progress-photo files stay on the phone and are not placed in Google Sheets. Their metadata appears in Progress_Photos. Full JSON backup includes the compressed photos.</t>
        </is>
      </c>
    </row>
    <row r="14" ht="26.39999961853027" customHeight="1" s="91">
      <c r="A14" s="116" t="inlineStr">
        <is>
          <t>RFL</t>
        </is>
      </c>
      <c r="B14" s="117" t="inlineStr">
        <is>
          <t>RFL targets are intentionally blank. Enter only values calculated from your edition of Lyle McDonald’s RFL. The RFL2 program reduces training volume to preserve muscle and strength.</t>
        </is>
      </c>
    </row>
    <row r="15" ht="26.39999961853027" customHeight="1" s="91">
      <c r="A15" s="116" t="inlineStr">
        <is>
          <t>Dietary defaults</t>
        </is>
      </c>
      <c r="B15" s="117" t="inlineStr">
        <is>
          <t>Recipe flags can identify possible bell peppers and shellfish. Reference ingredient values are starting points only; verify package labels and measured portions.</t>
        </is>
      </c>
    </row>
    <row r="16" ht="15" customHeight="1" s="91">
      <c r="A16" s="116" t="inlineStr">
        <is>
          <t>Backup</t>
        </is>
      </c>
      <c r="B16" s="117" t="inlineStr">
        <is>
          <t>Use the app’s full JSON export regularly. Keep at least one copy outside the phone.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23" customWidth="1" style="91" min="1" max="1"/>
    <col width="17" customWidth="1" style="91" min="2" max="2"/>
    <col width="17" customWidth="1" style="91" min="3" max="3"/>
    <col width="23" customWidth="1" style="91" min="4" max="4"/>
    <col width="17" customWidth="1" style="91" min="5" max="5"/>
    <col width="17" customWidth="1" style="91" min="6" max="6"/>
    <col width="23" customWidth="1" style="91" min="7" max="7"/>
    <col width="17" customWidth="1" style="91" min="8" max="8"/>
  </cols>
  <sheetData>
    <row r="1">
      <c r="A1" s="163" t="inlineStr">
        <is>
          <t>Fitness Dashboard</t>
        </is>
      </c>
      <c r="B1" s="97" t="n"/>
      <c r="C1" s="97" t="n"/>
      <c r="D1" s="97" t="n"/>
      <c r="E1" s="97" t="n"/>
      <c r="F1" s="97" t="n"/>
      <c r="G1" s="97" t="n"/>
      <c r="H1" s="97" t="n"/>
    </row>
    <row r="3">
      <c r="A3" s="22" t="inlineStr">
        <is>
          <t>Profile &amp; Diet</t>
        </is>
      </c>
      <c r="B3" s="22" t="inlineStr">
        <is>
          <t>Value</t>
        </is>
      </c>
      <c r="D3" s="22" t="inlineStr">
        <is>
          <t>Training · last 7 days</t>
        </is>
      </c>
      <c r="E3" s="22" t="inlineStr">
        <is>
          <t>Value</t>
        </is>
      </c>
      <c r="G3" s="22" t="inlineStr">
        <is>
          <t>Nutrition · today</t>
        </is>
      </c>
      <c r="H3" s="22" t="inlineStr">
        <is>
          <t>Value</t>
        </is>
      </c>
    </row>
    <row r="4">
      <c r="A4" s="12" t="inlineStr">
        <is>
          <t>Active program</t>
        </is>
      </c>
      <c r="B4" s="31">
        <f>IFERROR(INDEX(Settings!$B:$B,MATCH("activeProgram",Settings!$A:$A,0)),"")</f>
        <v/>
      </c>
      <c r="D4" s="12" t="inlineStr">
        <is>
          <t>Workouts</t>
        </is>
      </c>
      <c r="E4" s="164">
        <f>COUNTIFS(Workout_Sessions!$B:$B,"&gt;="&amp;TODAY()-6,Workout_Sessions!$B:$B,"&lt;="&amp;TODAY(),Workout_Sessions!$L:$L,TRUE)</f>
        <v/>
      </c>
      <c r="G4" s="12" t="inlineStr">
        <is>
          <t>Calories</t>
        </is>
      </c>
      <c r="H4" s="164">
        <f>SUMIFS(Food_Log!$H:$H,Food_Log!$B:$B,TODAY())</f>
        <v/>
      </c>
    </row>
    <row r="5">
      <c r="A5" s="12" t="inlineStr">
        <is>
          <t>Diet mode</t>
        </is>
      </c>
      <c r="B5" s="31">
        <f>IFERROR(INDEX(Settings!$B:$B,MATCH("dietMode",Settings!$A:$A,0)),"")</f>
        <v/>
      </c>
      <c r="D5" s="12" t="inlineStr">
        <is>
          <t>Work sets</t>
        </is>
      </c>
      <c r="E5" s="164">
        <f>COUNTIFS(Workout_Sets!$C:$C,"&gt;="&amp;TODAY()-6,Workout_Sets!$C:$C,"&lt;="&amp;TODAY(),Workout_Sets!$I:$I,FALSE)</f>
        <v/>
      </c>
      <c r="G5" s="12" t="inlineStr">
        <is>
          <t>Protein g</t>
        </is>
      </c>
      <c r="H5" s="164">
        <f>SUMIFS(Food_Log!$I:$I,Food_Log!$B:$B,TODAY())</f>
        <v/>
      </c>
    </row>
    <row r="6">
      <c r="A6" s="12" t="inlineStr">
        <is>
          <t>Latest weight kg</t>
        </is>
      </c>
      <c r="B6" s="164">
        <f>IFERROR(LOOKUP(2,1/(Body_Metrics!$B$2:$B$2000&lt;&gt;""),Body_Metrics!$C$2:$C$2000),"")</f>
        <v/>
      </c>
      <c r="D6" s="12" t="inlineStr">
        <is>
          <t>Training volume kg</t>
        </is>
      </c>
      <c r="E6" s="164">
        <f>SUMIFS(Workout_Sets!$N:$N,Workout_Sets!$C:$C,"&gt;="&amp;TODAY()-6,Workout_Sets!$C:$C,"&lt;="&amp;TODAY(),Workout_Sets!$I:$I,FALSE)</f>
        <v/>
      </c>
      <c r="G6" s="12" t="inlineStr">
        <is>
          <t>Carbs g</t>
        </is>
      </c>
      <c r="H6" s="164">
        <f>SUMIFS(Food_Log!$J:$J,Food_Log!$B:$B,TODAY())</f>
        <v/>
      </c>
    </row>
    <row r="7">
      <c r="A7" s="12" t="inlineStr">
        <is>
          <t>Latest waist cm</t>
        </is>
      </c>
      <c r="B7" s="164">
        <f>IFERROR(LOOKUP(2,1/(Body_Metrics!$B$2:$B$2000&lt;&gt;""),Body_Metrics!$D$2:$D$2000),"")</f>
        <v/>
      </c>
      <c r="D7" s="12" t="inlineStr">
        <is>
          <t>Cardio minutes</t>
        </is>
      </c>
      <c r="E7" s="164">
        <f>SUMIFS(Cardio_Log!$D:$D,Cardio_Log!$B:$B,"&gt;="&amp;TODAY()-6,Cardio_Log!$B:$B,"&lt;="&amp;TODAY())</f>
        <v/>
      </c>
      <c r="G7" s="12" t="inlineStr">
        <is>
          <t>Fat g</t>
        </is>
      </c>
      <c r="H7" s="164">
        <f>SUMIFS(Food_Log!$K:$K,Food_Log!$B:$B,TODAY())</f>
        <v/>
      </c>
    </row>
    <row r="8">
      <c r="A8" s="12" t="inlineStr">
        <is>
          <t>7-day avg weight kg</t>
        </is>
      </c>
      <c r="B8" s="164">
        <f>IFERROR(AVERAGEIFS(Body_Metrics!$C:$C,Body_Metrics!$B:$B,"&gt;="&amp;TODAY()-6,Body_Metrics!$B:$B,"&lt;="&amp;TODAY()),"")</f>
        <v/>
      </c>
      <c r="D8" s="12" t="inlineStr">
        <is>
          <t>Average sleep hrs</t>
        </is>
      </c>
      <c r="E8" s="164">
        <f>IFERROR(AVERAGEIFS(Daily_Checkins!$D:$D,Daily_Checkins!$B:$B,"&gt;="&amp;TODAY()-6,Daily_Checkins!$B:$B,"&lt;="&amp;TODAY()),"")</f>
        <v/>
      </c>
      <c r="G8" s="12" t="inlineStr">
        <is>
          <t>Calorie target</t>
        </is>
      </c>
      <c r="H8" s="164">
        <f>IF(B5="RFL / PSMF",IFERROR(INDEX(Settings!$B:$B,MATCH("rflCalorieTarget",Settings!$A:$A,0)),""),IFERROR(INDEX(Settings!$B:$B,MATCH("normalCalorieTarget",Settings!$A:$A,0)),""))</f>
        <v/>
      </c>
    </row>
    <row r="9">
      <c r="A9" s="12" t="inlineStr">
        <is>
          <t>Target weight kg</t>
        </is>
      </c>
      <c r="B9" s="164">
        <f>IFERROR(INDEX(Settings!$B:$B,MATCH("targetWeightKg",Settings!$A:$A,0)),"")</f>
        <v/>
      </c>
      <c r="D9" s="12" t="inlineStr">
        <is>
          <t>Average steps</t>
        </is>
      </c>
      <c r="E9" s="164">
        <f>IFERROR(AVERAGEIFS(Daily_Checkins!$C:$C,Daily_Checkins!$B:$B,"&gt;="&amp;TODAY()-6,Daily_Checkins!$B:$B,"&lt;="&amp;TODAY()),"")</f>
        <v/>
      </c>
      <c r="G9" s="12" t="inlineStr">
        <is>
          <t>Protein target g</t>
        </is>
      </c>
      <c r="H9" s="164">
        <f>IF(B5="RFL / PSMF",IFERROR(INDEX(Settings!$B:$B,MATCH("rflProteinTarget",Settings!$A:$A,0)),""),IFERROR(INDEX(Settings!$B:$B,MATCH("normalProteinTarget",Settings!$A:$A,0)),""))</f>
        <v/>
      </c>
    </row>
    <row r="10">
      <c r="A10" s="12" t="inlineStr">
        <is>
          <t>30-day weight change kg</t>
        </is>
      </c>
      <c r="B10" s="164">
        <f>IFERROR(B6-AVERAGEIFS(Body_Metrics!$C:$C,Body_Metrics!$B:$B,"&gt;="&amp;TODAY()-30,Body_Metrics!$B:$B,"&lt;="&amp;TODAY()-24),"")</f>
        <v/>
      </c>
      <c r="D10" s="12" t="inlineStr">
        <is>
          <t>Diet adherence %</t>
        </is>
      </c>
      <c r="E10" s="164">
        <f>IFERROR(AVERAGEIFS(Daily_Checkins!$I:$I,Daily_Checkins!$B:$B,"&gt;="&amp;TODAY()-6,Daily_Checkins!$B:$B,"&lt;="&amp;TODAY()),"")</f>
        <v/>
      </c>
      <c r="G10" s="12" t="inlineStr">
        <is>
          <t>Remaining calories</t>
        </is>
      </c>
      <c r="H10" s="164">
        <f>IF(H8="","",H8-H4)</f>
        <v/>
      </c>
    </row>
    <row r="12">
      <c r="A12" s="165" t="inlineStr">
        <is>
          <t>Eight-week training trend</t>
        </is>
      </c>
      <c r="B12" s="97" t="n"/>
      <c r="C12" s="97" t="n"/>
      <c r="D12" s="97" t="n"/>
      <c r="E12" s="97" t="n"/>
      <c r="F12" s="97" t="n"/>
      <c r="G12" s="97" t="n"/>
      <c r="H12" s="97" t="n"/>
    </row>
    <row r="14">
      <c r="A14" s="22" t="inlineStr">
        <is>
          <t>Week start</t>
        </is>
      </c>
      <c r="B14" s="22" t="inlineStr">
        <is>
          <t>Volume kg</t>
        </is>
      </c>
      <c r="C14" s="22" t="inlineStr">
        <is>
          <t>Workouts</t>
        </is>
      </c>
    </row>
    <row r="15">
      <c r="A15" s="166" t="n">
        <v>46167</v>
      </c>
      <c r="B15">
        <f>SUMIFS(Workout_Sets!$N:$N,Workout_Sets!$C:$C,"&gt;="&amp;A15,Workout_Sets!$C:$C,"&lt;"&amp;A15+7,Workout_Sets!$I:$I,FALSE)</f>
        <v/>
      </c>
      <c r="C15">
        <f>COUNTIFS(Workout_Sessions!$B:$B,"&gt;="&amp;A15,Workout_Sessions!$B:$B,"&lt;"&amp;A15+7,Workout_Sessions!$L:$L,TRUE)</f>
        <v/>
      </c>
    </row>
    <row r="16">
      <c r="A16" s="166" t="n">
        <v>46174</v>
      </c>
      <c r="B16">
        <f>SUMIFS(Workout_Sets!$N:$N,Workout_Sets!$C:$C,"&gt;="&amp;A16,Workout_Sets!$C:$C,"&lt;"&amp;A16+7,Workout_Sets!$I:$I,FALSE)</f>
        <v/>
      </c>
      <c r="C16">
        <f>COUNTIFS(Workout_Sessions!$B:$B,"&gt;="&amp;A16,Workout_Sessions!$B:$B,"&lt;"&amp;A16+7,Workout_Sessions!$L:$L,TRUE)</f>
        <v/>
      </c>
    </row>
    <row r="17">
      <c r="A17" s="166" t="n">
        <v>46181</v>
      </c>
      <c r="B17">
        <f>SUMIFS(Workout_Sets!$N:$N,Workout_Sets!$C:$C,"&gt;="&amp;A17,Workout_Sets!$C:$C,"&lt;"&amp;A17+7,Workout_Sets!$I:$I,FALSE)</f>
        <v/>
      </c>
      <c r="C17">
        <f>COUNTIFS(Workout_Sessions!$B:$B,"&gt;="&amp;A17,Workout_Sessions!$B:$B,"&lt;"&amp;A17+7,Workout_Sessions!$L:$L,TRUE)</f>
        <v/>
      </c>
    </row>
    <row r="18">
      <c r="A18" s="166" t="n">
        <v>46188</v>
      </c>
      <c r="B18">
        <f>SUMIFS(Workout_Sets!$N:$N,Workout_Sets!$C:$C,"&gt;="&amp;A18,Workout_Sets!$C:$C,"&lt;"&amp;A18+7,Workout_Sets!$I:$I,FALSE)</f>
        <v/>
      </c>
      <c r="C18">
        <f>COUNTIFS(Workout_Sessions!$B:$B,"&gt;="&amp;A18,Workout_Sessions!$B:$B,"&lt;"&amp;A18+7,Workout_Sessions!$L:$L,TRUE)</f>
        <v/>
      </c>
    </row>
    <row r="19">
      <c r="A19" s="166" t="n">
        <v>46195</v>
      </c>
      <c r="B19">
        <f>SUMIFS(Workout_Sets!$N:$N,Workout_Sets!$C:$C,"&gt;="&amp;A19,Workout_Sets!$C:$C,"&lt;"&amp;A19+7,Workout_Sets!$I:$I,FALSE)</f>
        <v/>
      </c>
      <c r="C19">
        <f>COUNTIFS(Workout_Sessions!$B:$B,"&gt;="&amp;A19,Workout_Sessions!$B:$B,"&lt;"&amp;A19+7,Workout_Sessions!$L:$L,TRUE)</f>
        <v/>
      </c>
    </row>
    <row r="20">
      <c r="A20" s="166" t="n">
        <v>46202</v>
      </c>
      <c r="B20">
        <f>SUMIFS(Workout_Sets!$N:$N,Workout_Sets!$C:$C,"&gt;="&amp;A20,Workout_Sets!$C:$C,"&lt;"&amp;A20+7,Workout_Sets!$I:$I,FALSE)</f>
        <v/>
      </c>
      <c r="C20">
        <f>COUNTIFS(Workout_Sessions!$B:$B,"&gt;="&amp;A20,Workout_Sessions!$B:$B,"&lt;"&amp;A20+7,Workout_Sessions!$L:$L,TRUE)</f>
        <v/>
      </c>
    </row>
    <row r="21">
      <c r="A21" s="166" t="n">
        <v>46209</v>
      </c>
      <c r="B21">
        <f>SUMIFS(Workout_Sets!$N:$N,Workout_Sets!$C:$C,"&gt;="&amp;A21,Workout_Sets!$C:$C,"&lt;"&amp;A21+7,Workout_Sets!$I:$I,FALSE)</f>
        <v/>
      </c>
      <c r="C21">
        <f>COUNTIFS(Workout_Sessions!$B:$B,"&gt;="&amp;A21,Workout_Sessions!$B:$B,"&lt;"&amp;A21+7,Workout_Sessions!$L:$L,TRUE)</f>
        <v/>
      </c>
    </row>
    <row r="22">
      <c r="A22" s="166" t="n">
        <v>46216</v>
      </c>
      <c r="B22">
        <f>SUMIFS(Workout_Sets!$N:$N,Workout_Sets!$C:$C,"&gt;="&amp;A22,Workout_Sets!$C:$C,"&lt;"&amp;A22+7,Workout_Sets!$I:$I,FALSE)</f>
        <v/>
      </c>
      <c r="C22">
        <f>COUNTIFS(Workout_Sessions!$B:$B,"&gt;="&amp;A22,Workout_Sessions!$B:$B,"&lt;"&amp;A22+7,Workout_Sessions!$L:$L,TRUE)</f>
        <v/>
      </c>
    </row>
  </sheetData>
  <mergeCells count="2">
    <mergeCell ref="A12:H12"/>
    <mergeCell ref="A1:H1"/>
  </mergeCell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selection activeCell="A1" sqref="A1"/>
    </sheetView>
  </sheetViews>
  <sheetFormatPr baseColWidth="8" defaultRowHeight="15"/>
  <cols>
    <col width="25" customWidth="1" style="91" min="1" max="1"/>
    <col width="44" customWidth="1" style="91" min="2" max="2"/>
    <col width="12" customWidth="1" style="91" min="3" max="3"/>
    <col width="16" customWidth="1" style="91" min="4" max="4"/>
    <col width="54" customWidth="1" style="91" min="5" max="5"/>
  </cols>
  <sheetData>
    <row r="1" ht="30" customHeight="1" s="91">
      <c r="A1" s="118" t="inlineStr">
        <is>
          <t>Key</t>
        </is>
      </c>
      <c r="B1" s="118" t="inlineStr">
        <is>
          <t>Value</t>
        </is>
      </c>
      <c r="C1" s="118" t="inlineStr">
        <is>
          <t>Type</t>
        </is>
      </c>
      <c r="D1" s="118" t="inlineStr">
        <is>
          <t>Group</t>
        </is>
      </c>
      <c r="E1" s="118" t="inlineStr">
        <is>
          <t>Description</t>
        </is>
      </c>
    </row>
    <row r="2">
      <c r="A2" s="133" t="inlineStr">
        <is>
          <t>profileName</t>
        </is>
      </c>
      <c r="B2" s="134" t="str"/>
      <c r="C2" s="134" t="inlineStr">
        <is>
          <t>text</t>
        </is>
      </c>
      <c r="D2" s="134" t="inlineStr">
        <is>
          <t>Profile</t>
        </is>
      </c>
      <c r="E2" s="135" t="inlineStr">
        <is>
          <t>Name shown in the app</t>
        </is>
      </c>
    </row>
    <row r="3">
      <c r="A3" s="136" t="inlineStr">
        <is>
          <t>age</t>
        </is>
      </c>
      <c r="B3" s="144" t="str"/>
      <c r="C3" s="144" t="inlineStr">
        <is>
          <t>number</t>
        </is>
      </c>
      <c r="D3" s="144" t="inlineStr">
        <is>
          <t>Profile</t>
        </is>
      </c>
      <c r="E3" s="138" t="inlineStr">
        <is>
          <t>Age</t>
        </is>
      </c>
    </row>
    <row r="4">
      <c r="A4" s="136" t="inlineStr">
        <is>
          <t>heightCm</t>
        </is>
      </c>
      <c r="B4" s="144" t="str"/>
      <c r="C4" s="144" t="inlineStr">
        <is>
          <t>number</t>
        </is>
      </c>
      <c r="D4" s="144" t="inlineStr">
        <is>
          <t>Profile</t>
        </is>
      </c>
      <c r="E4" s="138" t="inlineStr">
        <is>
          <t>Height in centimetres</t>
        </is>
      </c>
    </row>
    <row r="5">
      <c r="A5" s="136" t="inlineStr">
        <is>
          <t>targetWeightKg</t>
        </is>
      </c>
      <c r="B5" s="144" t="str"/>
      <c r="C5" s="144" t="inlineStr">
        <is>
          <t>number</t>
        </is>
      </c>
      <c r="D5" s="144" t="inlineStr">
        <is>
          <t>Profile</t>
        </is>
      </c>
      <c r="E5" s="138" t="inlineStr">
        <is>
          <t>Long-term weight target</t>
        </is>
      </c>
    </row>
    <row r="6">
      <c r="A6" s="136" t="inlineStr">
        <is>
          <t>activeProgram</t>
        </is>
      </c>
      <c r="B6" s="144" t="inlineStr">
        <is>
          <t>UL4</t>
        </is>
      </c>
      <c r="C6" s="144" t="inlineStr">
        <is>
          <t>text</t>
        </is>
      </c>
      <c r="D6" s="144" t="inlineStr">
        <is>
          <t>Training</t>
        </is>
      </c>
      <c r="E6" s="138" t="inlineStr">
        <is>
          <t>Active program ID</t>
        </is>
      </c>
    </row>
    <row r="7">
      <c r="A7" s="136" t="inlineStr">
        <is>
          <t>dietMode</t>
        </is>
      </c>
      <c r="B7" s="144" t="inlineStr">
        <is>
          <t>Normal / moderate deficit</t>
        </is>
      </c>
      <c r="C7" s="144" t="inlineStr">
        <is>
          <t>text</t>
        </is>
      </c>
      <c r="D7" s="144" t="inlineStr">
        <is>
          <t>Diet</t>
        </is>
      </c>
      <c r="E7" s="138" t="inlineStr">
        <is>
          <t>Current diet phase</t>
        </is>
      </c>
    </row>
    <row r="8">
      <c r="A8" s="136" t="inlineStr">
        <is>
          <t>normalCalorieTarget</t>
        </is>
      </c>
      <c r="B8" s="144" t="n">
        <v>2200</v>
      </c>
      <c r="C8" s="144" t="inlineStr">
        <is>
          <t>number</t>
        </is>
      </c>
      <c r="D8" s="144" t="inlineStr">
        <is>
          <t>Diet</t>
        </is>
      </c>
      <c r="E8" s="138" t="inlineStr">
        <is>
          <t>Daily calorie target outside RFL</t>
        </is>
      </c>
    </row>
    <row r="9">
      <c r="A9" s="136" t="inlineStr">
        <is>
          <t>normalProteinTarget</t>
        </is>
      </c>
      <c r="B9" s="144" t="n">
        <v>170</v>
      </c>
      <c r="C9" s="144" t="inlineStr">
        <is>
          <t>number</t>
        </is>
      </c>
      <c r="D9" s="144" t="inlineStr">
        <is>
          <t>Diet</t>
        </is>
      </c>
      <c r="E9" s="138" t="inlineStr">
        <is>
          <t>Daily protein target outside RFL</t>
        </is>
      </c>
    </row>
    <row r="10">
      <c r="A10" s="136" t="inlineStr">
        <is>
          <t>normalCarbTarget</t>
        </is>
      </c>
      <c r="B10" s="144" t="n">
        <v>180</v>
      </c>
      <c r="C10" s="144" t="inlineStr">
        <is>
          <t>number</t>
        </is>
      </c>
      <c r="D10" s="144" t="inlineStr">
        <is>
          <t>Diet</t>
        </is>
      </c>
      <c r="E10" s="138" t="inlineStr">
        <is>
          <t>Daily carbohydrate target outside RFL</t>
        </is>
      </c>
    </row>
    <row r="11">
      <c r="A11" s="136" t="inlineStr">
        <is>
          <t>normalFatTarget</t>
        </is>
      </c>
      <c r="B11" s="144" t="n">
        <v>70</v>
      </c>
      <c r="C11" s="144" t="inlineStr">
        <is>
          <t>number</t>
        </is>
      </c>
      <c r="D11" s="144" t="inlineStr">
        <is>
          <t>Diet</t>
        </is>
      </c>
      <c r="E11" s="138" t="inlineStr">
        <is>
          <t>Daily fat target outside RFL</t>
        </is>
      </c>
    </row>
    <row r="12">
      <c r="A12" s="136" t="inlineStr">
        <is>
          <t>rflCalorieTarget</t>
        </is>
      </c>
      <c r="B12" s="144" t="str"/>
      <c r="C12" s="144" t="inlineStr">
        <is>
          <t>number</t>
        </is>
      </c>
      <c r="D12" s="144" t="inlineStr">
        <is>
          <t>RFL</t>
        </is>
      </c>
      <c r="E12" s="138" t="inlineStr">
        <is>
          <t>Use your edition of RFL; do not guess</t>
        </is>
      </c>
    </row>
    <row r="13">
      <c r="A13" s="136" t="inlineStr">
        <is>
          <t>rflProteinTarget</t>
        </is>
      </c>
      <c r="B13" s="144" t="str"/>
      <c r="C13" s="144" t="inlineStr">
        <is>
          <t>number</t>
        </is>
      </c>
      <c r="D13" s="144" t="inlineStr">
        <is>
          <t>RFL</t>
        </is>
      </c>
      <c r="E13" s="138" t="inlineStr">
        <is>
          <t>Use your edition of RFL; do not guess</t>
        </is>
      </c>
    </row>
    <row r="14">
      <c r="A14" s="136" t="inlineStr">
        <is>
          <t>rflCarbTarget</t>
        </is>
      </c>
      <c r="B14" s="144" t="str"/>
      <c r="C14" s="144" t="inlineStr">
        <is>
          <t>number</t>
        </is>
      </c>
      <c r="D14" s="144" t="inlineStr">
        <is>
          <t>RFL</t>
        </is>
      </c>
      <c r="E14" s="138" t="inlineStr">
        <is>
          <t>Use your edition of RFL; do not guess</t>
        </is>
      </c>
    </row>
    <row r="15">
      <c r="A15" s="136" t="inlineStr">
        <is>
          <t>rflFatTarget</t>
        </is>
      </c>
      <c r="B15" s="144" t="str"/>
      <c r="C15" s="144" t="inlineStr">
        <is>
          <t>number</t>
        </is>
      </c>
      <c r="D15" s="144" t="inlineStr">
        <is>
          <t>RFL</t>
        </is>
      </c>
      <c r="E15" s="138" t="inlineStr">
        <is>
          <t>Use your edition of RFL; do not guess</t>
        </is>
      </c>
    </row>
    <row r="16">
      <c r="A16" s="136" t="inlineStr">
        <is>
          <t>stepsTarget</t>
        </is>
      </c>
      <c r="B16" s="144" t="n">
        <v>8000</v>
      </c>
      <c r="C16" s="144" t="inlineStr">
        <is>
          <t>number</t>
        </is>
      </c>
      <c r="D16" s="144" t="inlineStr">
        <is>
          <t>Recovery</t>
        </is>
      </c>
      <c r="E16" s="138" t="inlineStr">
        <is>
          <t>Daily step target</t>
        </is>
      </c>
    </row>
    <row r="17">
      <c r="A17" s="136" t="inlineStr">
        <is>
          <t>sleepTargetHrs</t>
        </is>
      </c>
      <c r="B17" s="144" t="n">
        <v>7.5</v>
      </c>
      <c r="C17" s="144" t="inlineStr">
        <is>
          <t>number</t>
        </is>
      </c>
      <c r="D17" s="144" t="inlineStr">
        <is>
          <t>Recovery</t>
        </is>
      </c>
      <c r="E17" s="138" t="inlineStr">
        <is>
          <t>Daily sleep target</t>
        </is>
      </c>
    </row>
    <row r="18">
      <c r="A18" s="136" t="inlineStr">
        <is>
          <t>waterTargetMl</t>
        </is>
      </c>
      <c r="B18" s="144" t="n">
        <v>2500</v>
      </c>
      <c r="C18" s="144" t="inlineStr">
        <is>
          <t>number</t>
        </is>
      </c>
      <c r="D18" s="144" t="inlineStr">
        <is>
          <t>Recovery</t>
        </is>
      </c>
      <c r="E18" s="138" t="inlineStr">
        <is>
          <t>Daily water target</t>
        </is>
      </c>
    </row>
    <row r="19">
      <c r="A19" s="136" t="inlineStr">
        <is>
          <t>noBellPeppers</t>
        </is>
      </c>
      <c r="B19" s="144" t="b">
        <v>0</v>
      </c>
      <c r="C19" s="144" t="inlineStr">
        <is>
          <t>boolean</t>
        </is>
      </c>
      <c r="D19" s="144" t="inlineStr">
        <is>
          <t>Diet</t>
        </is>
      </c>
      <c r="E19" s="138" t="inlineStr">
        <is>
          <t>Recipe preference</t>
        </is>
      </c>
    </row>
    <row r="20">
      <c r="A20" s="136" t="inlineStr">
        <is>
          <t>noShellfish</t>
        </is>
      </c>
      <c r="B20" s="144" t="b">
        <v>0</v>
      </c>
      <c r="C20" s="144" t="inlineStr">
        <is>
          <t>boolean</t>
        </is>
      </c>
      <c r="D20" s="144" t="inlineStr">
        <is>
          <t>Diet</t>
        </is>
      </c>
      <c r="E20" s="138" t="inlineStr">
        <is>
          <t>Recipe preference</t>
        </is>
      </c>
    </row>
    <row r="21">
      <c r="A21" s="136" t="inlineStr">
        <is>
          <t>lastSession</t>
        </is>
      </c>
      <c r="B21" s="144" t="inlineStr">
        <is>
          <t>UL4|lower-a</t>
        </is>
      </c>
      <c r="C21" s="144" t="inlineStr">
        <is>
          <t>text</t>
        </is>
      </c>
      <c r="D21" s="144" t="inlineStr">
        <is>
          <t>Training</t>
        </is>
      </c>
      <c r="E21" s="138" t="inlineStr">
        <is>
          <t>Last selected ProgramID|SessionID</t>
        </is>
      </c>
    </row>
    <row r="22">
      <c r="A22" s="136" t="inlineStr">
        <is>
          <t>weekStartsMonday</t>
        </is>
      </c>
      <c r="B22" s="144" t="b">
        <v>1</v>
      </c>
      <c r="C22" s="144" t="inlineStr">
        <is>
          <t>boolean</t>
        </is>
      </c>
      <c r="D22" s="144" t="inlineStr">
        <is>
          <t>App</t>
        </is>
      </c>
      <c r="E22" s="138" t="inlineStr">
        <is>
          <t>Week starts Monday</t>
        </is>
      </c>
    </row>
    <row r="23">
      <c r="A23" s="136" t="inlineStr">
        <is>
          <t>availableEquipment</t>
        </is>
      </c>
      <c r="B23" s="144" t="inlineStr">
        <is>
          <t>["Bodyweight / floor space", "Power rack / squat stands", "Barbell + plates", "Adjustable bench", "Adjustable dumbbells", "Cable station / functional trainer", "Pull-up bar", "Gymnastic rings / suspension trainer", "Calf raise platform / machine", "Ankle strap", "Rope cable attachment", "Ab wheel"]</t>
        </is>
      </c>
      <c r="C23" s="144" t="inlineStr">
        <is>
          <t>json</t>
        </is>
      </c>
      <c r="D23" s="144" t="inlineStr">
        <is>
          <t>Training</t>
        </is>
      </c>
      <c r="E23" s="138" t="inlineStr">
        <is>
          <t>Selected equipment used by exercise compatibility</t>
        </is>
      </c>
    </row>
    <row r="24">
      <c r="A24" s="136" t="inlineStr">
        <is>
          <t>customEquipment</t>
        </is>
      </c>
      <c r="B24" s="144" t="inlineStr">
        <is>
          <t>[]</t>
        </is>
      </c>
      <c r="C24" s="144" t="inlineStr">
        <is>
          <t>json</t>
        </is>
      </c>
      <c r="D24" s="144" t="inlineStr">
        <is>
          <t>Training</t>
        </is>
      </c>
      <c r="E24" s="138" t="inlineStr">
        <is>
          <t>Custom equipment names</t>
        </is>
      </c>
    </row>
    <row r="25">
      <c r="A25" s="136" t="inlineStr">
        <is>
          <t>equipmentProfileName</t>
        </is>
      </c>
      <c r="B25" s="144" t="inlineStr">
        <is>
          <t>Custom home gym</t>
        </is>
      </c>
      <c r="C25" s="144" t="inlineStr">
        <is>
          <t>text</t>
        </is>
      </c>
      <c r="D25" s="144" t="inlineStr">
        <is>
          <t>Training</t>
        </is>
      </c>
      <c r="E25" s="138" t="inlineStr">
        <is>
          <t>Current equipment preset or profile name</t>
        </is>
      </c>
    </row>
    <row r="26">
      <c r="A26" s="136" t="inlineStr">
        <is>
          <t>restTimerDefaultSec</t>
        </is>
      </c>
      <c r="B26" s="144" t="n">
        <v>120</v>
      </c>
      <c r="C26" s="144" t="inlineStr">
        <is>
          <t>number</t>
        </is>
      </c>
      <c r="D26" s="144" t="inlineStr">
        <is>
          <t>Training</t>
        </is>
      </c>
      <c r="E26" s="138" t="inlineStr">
        <is>
          <t>Default rest timer</t>
        </is>
      </c>
    </row>
    <row r="27">
      <c r="A27" s="140" t="inlineStr">
        <is>
          <t>autoRestTimer</t>
        </is>
      </c>
      <c r="B27" s="162" t="b">
        <v>1</v>
      </c>
      <c r="C27" s="162" t="inlineStr">
        <is>
          <t>boolean</t>
        </is>
      </c>
      <c r="D27" s="162" t="inlineStr">
        <is>
          <t>Training</t>
        </is>
      </c>
      <c r="E27" s="142" t="inlineStr">
        <is>
          <t>Start the rest timer after completing a work set</t>
        </is>
      </c>
    </row>
    <row r="28">
      <c r="A28" s="144" t="inlineStr">
        <is>
          <t>restTimerSound</t>
        </is>
      </c>
      <c r="B28" s="144" t="b">
        <v>1</v>
      </c>
      <c r="C28" s="144" t="inlineStr">
        <is>
          <t>boolean</t>
        </is>
      </c>
      <c r="D28" s="144" t="inlineStr">
        <is>
          <t>Training</t>
        </is>
      </c>
      <c r="E28" s="144" t="inlineStr">
        <is>
          <t>Play sound when rest timer finishes</t>
        </is>
      </c>
    </row>
    <row r="29">
      <c r="A29" s="144" t="inlineStr">
        <is>
          <t>autoAdvanceSets</t>
        </is>
      </c>
      <c r="B29" s="144" t="b">
        <v>1</v>
      </c>
      <c r="C29" s="144" t="inlineStr">
        <is>
          <t>boolean</t>
        </is>
      </c>
      <c r="D29" s="144" t="inlineStr">
        <is>
          <t>Training</t>
        </is>
      </c>
      <c r="E29" s="144" t="inlineStr">
        <is>
          <t>Move focus to the next incomplete set</t>
        </is>
      </c>
    </row>
    <row r="30">
      <c r="A30" s="144" t="inlineStr">
        <is>
          <t>weightIncrementKg</t>
        </is>
      </c>
      <c r="B30" s="144" t="n">
        <v>2.5</v>
      </c>
      <c r="C30" s="144" t="inlineStr">
        <is>
          <t>number</t>
        </is>
      </c>
      <c r="D30" s="144" t="inlineStr">
        <is>
          <t>Training</t>
        </is>
      </c>
      <c r="E30" s="144" t="inlineStr">
        <is>
          <t>Default progression increment for barbell/standard exercises</t>
        </is>
      </c>
    </row>
    <row r="31">
      <c r="A31" s="144" t="inlineStr">
        <is>
          <t>smallWeightIncrementKg</t>
        </is>
      </c>
      <c r="B31" s="144" t="n">
        <v>1</v>
      </c>
      <c r="C31" s="144" t="inlineStr">
        <is>
          <t>number</t>
        </is>
      </c>
      <c r="D31" s="144" t="inlineStr">
        <is>
          <t>Training</t>
        </is>
      </c>
      <c r="E31" s="144" t="inlineStr">
        <is>
          <t>Default progression increment for isolation/small exercises</t>
        </is>
      </c>
    </row>
    <row r="32">
      <c r="A32" s="144" t="inlineStr">
        <is>
          <t>dumbbellWeightIncrementKg</t>
        </is>
      </c>
      <c r="B32" s="144" t="n">
        <v>2</v>
      </c>
      <c r="C32" s="144" t="inlineStr">
        <is>
          <t>number</t>
        </is>
      </c>
      <c r="D32" s="144" t="inlineStr">
        <is>
          <t>Training</t>
        </is>
      </c>
      <c r="E32" s="144" t="inlineStr">
        <is>
          <t>Default progression increment for dumbbell exercises</t>
        </is>
      </c>
    </row>
    <row r="33">
      <c r="A33" s="144" t="inlineStr">
        <is>
          <t>trainView</t>
        </is>
      </c>
      <c r="B33" s="144" t="inlineStr">
        <is>
          <t>workout</t>
        </is>
      </c>
      <c r="C33" s="144" t="inlineStr">
        <is>
          <t>text</t>
        </is>
      </c>
      <c r="D33" s="144" t="inlineStr">
        <is>
          <t>App</t>
        </is>
      </c>
      <c r="E33" s="144" t="inlineStr">
        <is>
          <t>Current Train sub-view</t>
        </is>
      </c>
    </row>
    <row r="34">
      <c r="A34" s="144" t="inlineStr">
        <is>
          <t>recipeImportAutoMatch</t>
        </is>
      </c>
      <c r="B34" s="144" t="b">
        <v>1</v>
      </c>
      <c r="C34" s="144" t="inlineStr">
        <is>
          <t>boolean</t>
        </is>
      </c>
      <c r="D34" s="144" t="inlineStr">
        <is>
          <t>Recipe import</t>
        </is>
      </c>
      <c r="E34" s="144" t="inlineStr">
        <is>
          <t>Automatically attempt local ingredient matching after import</t>
        </is>
      </c>
    </row>
    <row r="35">
      <c r="A35" s="144" t="inlineStr">
        <is>
          <t>recipeImportPreferMetric</t>
        </is>
      </c>
      <c r="B35" s="144" t="b">
        <v>1</v>
      </c>
      <c r="C35" s="144" t="inlineStr">
        <is>
          <t>boolean</t>
        </is>
      </c>
      <c r="D35" s="144" t="inlineStr">
        <is>
          <t>Recipe import</t>
        </is>
      </c>
      <c r="E35" s="144" t="inlineStr">
        <is>
          <t>Prefer metric quantities when interpreting recipes</t>
        </is>
      </c>
    </row>
    <row r="36">
      <c r="A36" s="144" t="inlineStr">
        <is>
          <t>foodReferenceSource</t>
        </is>
      </c>
      <c r="B36" s="144" t="inlineStr">
        <is>
          <t>USDA + Open Food Facts</t>
        </is>
      </c>
      <c r="C36" s="144" t="inlineStr">
        <is>
          <t>text</t>
        </is>
      </c>
      <c r="D36" s="144" t="inlineStr">
        <is>
          <t>Recipe import</t>
        </is>
      </c>
      <c r="E36" s="144" t="inlineStr">
        <is>
          <t>Reference search sources used by the v2.3 backend</t>
        </is>
      </c>
    </row>
    <row r="37">
      <c r="A37" s="144" t="inlineStr">
        <is>
          <t>theme</t>
        </is>
      </c>
      <c r="B37" s="144" t="inlineStr">
        <is>
          <t>system</t>
        </is>
      </c>
      <c r="C37" s="144" t="inlineStr">
        <is>
          <t>text</t>
        </is>
      </c>
      <c r="D37" s="144" t="inlineStr">
        <is>
          <t>App</t>
        </is>
      </c>
      <c r="E37" s="144" t="inlineStr">
        <is>
          <t>system, light, or dark</t>
        </is>
      </c>
    </row>
    <row r="38">
      <c r="A38" s="144" t="n"/>
      <c r="B38" s="144" t="n"/>
      <c r="C38" s="144" t="n"/>
      <c r="D38" s="144" t="n"/>
      <c r="E38" s="144" t="n"/>
    </row>
  </sheetData>
  <dataValidations count="2">
    <dataValidation sqref="B6" showDropDown="0" showInputMessage="0" showErrorMessage="0" allowBlank="0" type="list">
      <formula1>"UL4,RFL2,GVS_EXTRA"</formula1>
    </dataValidation>
    <dataValidation sqref="B7" showDropDown="0" showInputMessage="0" showErrorMessage="0" allowBlank="0" type="list">
      <formula1>"Normal / moderate deficit,RFL / PSMF,Maintenance / transition"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47"/>
  <sheetViews>
    <sheetView workbookViewId="0">
      <selection activeCell="A1" sqref="A1"/>
    </sheetView>
  </sheetViews>
  <sheetFormatPr baseColWidth="8" defaultRowHeight="15"/>
  <cols>
    <col width="13" customWidth="1" style="91" min="1" max="1"/>
    <col width="28" customWidth="1" style="91" min="2" max="2"/>
    <col width="24" customWidth="1" style="91" min="3" max="3"/>
    <col width="42" customWidth="1" style="91" min="4" max="4"/>
    <col width="20" customWidth="1" style="91" min="5" max="5"/>
    <col width="22" customWidth="1" style="91" min="6" max="6"/>
    <col width="12" customWidth="1" style="91" min="7" max="7"/>
    <col width="12" customWidth="1" style="91" min="8" max="8"/>
    <col width="24" customWidth="1" style="91" min="9" max="9"/>
    <col width="24" customWidth="1" style="91" min="10" max="10"/>
    <col width="14" customWidth="1" style="91" min="11" max="11"/>
    <col width="32" customWidth="1" style="91" min="12" max="12"/>
    <col width="12" customWidth="1" style="91" min="13" max="13"/>
    <col width="8" customWidth="1" style="91" min="14" max="14"/>
    <col width="12" customWidth="1" style="91" min="15" max="15"/>
    <col width="8" customWidth="1" style="91" min="16" max="16"/>
    <col width="10" customWidth="1" style="91" min="17" max="17"/>
    <col width="42" customWidth="1" style="91" min="18" max="18"/>
    <col width="8" customWidth="1" style="91" min="19" max="19"/>
    <col width="20" customWidth="1" style="91" min="20" max="20"/>
  </cols>
  <sheetData>
    <row r="1" ht="30" customHeight="1" s="91">
      <c r="A1" s="63" t="inlineStr">
        <is>
          <t>ProgramID</t>
        </is>
      </c>
      <c r="B1" s="63" t="inlineStr">
        <is>
          <t>ProgramName</t>
        </is>
      </c>
      <c r="C1" s="63" t="inlineStr">
        <is>
          <t>Mode</t>
        </is>
      </c>
      <c r="D1" s="63" t="inlineStr">
        <is>
          <t>ProgramDescription</t>
        </is>
      </c>
      <c r="E1" s="63" t="inlineStr">
        <is>
          <t>SessionID</t>
        </is>
      </c>
      <c r="F1" s="63" t="inlineStr">
        <is>
          <t>SessionName</t>
        </is>
      </c>
      <c r="G1" s="63" t="inlineStr">
        <is>
          <t>Day</t>
        </is>
      </c>
      <c r="H1" s="63" t="inlineStr">
        <is>
          <t>SessionOrder</t>
        </is>
      </c>
      <c r="I1" s="63" t="inlineStr">
        <is>
          <t>SessionNotes</t>
        </is>
      </c>
      <c r="J1" s="63" t="inlineStr">
        <is>
          <t>SlotID</t>
        </is>
      </c>
      <c r="K1" s="63" t="inlineStr">
        <is>
          <t>ExerciseID</t>
        </is>
      </c>
      <c r="L1" s="63" t="inlineStr">
        <is>
          <t>Exercise</t>
        </is>
      </c>
      <c r="M1" s="63" t="inlineStr">
        <is>
          <t>ExerciseOrder</t>
        </is>
      </c>
      <c r="N1" s="63" t="inlineStr">
        <is>
          <t>Sets</t>
        </is>
      </c>
      <c r="O1" s="63" t="inlineStr">
        <is>
          <t>RepRange</t>
        </is>
      </c>
      <c r="P1" s="63" t="inlineStr">
        <is>
          <t>RIR</t>
        </is>
      </c>
      <c r="Q1" s="63" t="inlineStr">
        <is>
          <t>RestSec</t>
        </is>
      </c>
      <c r="R1" s="63" t="inlineStr">
        <is>
          <t>ExerciseNotes</t>
        </is>
      </c>
      <c r="S1" s="63" t="inlineStr">
        <is>
          <t>Active</t>
        </is>
      </c>
      <c r="T1" s="63" t="inlineStr">
        <is>
          <t>UpdatedAt</t>
        </is>
      </c>
    </row>
    <row r="2">
      <c r="A2" s="64" t="inlineStr">
        <is>
          <t>UL4</t>
        </is>
      </c>
      <c r="B2" s="80" t="inlineStr">
        <is>
          <t>Normal 4-day Upper/Lower</t>
        </is>
      </c>
      <c r="C2" s="80" t="inlineStr">
        <is>
          <t>Normal / moderate deficit</t>
        </is>
      </c>
      <c r="D2" s="80" t="inlineStr">
        <is>
          <t>Four-day upper/lower plan for normal dieting, maintenance, or slow fat loss.</t>
        </is>
      </c>
      <c r="E2" s="80" t="inlineStr">
        <is>
          <t>lower-a</t>
        </is>
      </c>
      <c r="F2" s="80" t="inlineStr">
        <is>
          <t>Lower A</t>
        </is>
      </c>
      <c r="G2" s="80" t="inlineStr">
        <is>
          <t>Monday</t>
        </is>
      </c>
      <c r="H2" s="80" t="n">
        <v>1</v>
      </c>
      <c r="I2" s="80" t="str"/>
      <c r="J2" s="80" t="inlineStr">
        <is>
          <t>ul4-lower-a-1</t>
        </is>
      </c>
      <c r="K2" s="80" t="inlineStr">
        <is>
          <t>EX001</t>
        </is>
      </c>
      <c r="L2" s="80" t="inlineStr">
        <is>
          <t>High-bar back squat</t>
        </is>
      </c>
      <c r="M2" s="80" t="n">
        <v>1</v>
      </c>
      <c r="N2" s="80" t="n">
        <v>3</v>
      </c>
      <c r="O2" s="80" t="inlineStr">
        <is>
          <t>6-8</t>
        </is>
      </c>
      <c r="P2" s="80" t="inlineStr">
        <is>
          <t>1-2</t>
        </is>
      </c>
      <c r="Q2" s="80" t="n">
        <v>150</v>
      </c>
      <c r="R2" s="80" t="inlineStr">
        <is>
          <t>Use controlled depth; substitute if back/knees complain.</t>
        </is>
      </c>
      <c r="S2" s="80" t="b">
        <v>1</v>
      </c>
      <c r="T2" s="167" t="n">
        <v>46222.41666666666</v>
      </c>
    </row>
    <row r="3">
      <c r="A3" s="67" t="inlineStr">
        <is>
          <t>UL4</t>
        </is>
      </c>
      <c r="B3" s="70" t="inlineStr">
        <is>
          <t>Normal 4-day Upper/Lower</t>
        </is>
      </c>
      <c r="C3" s="70" t="inlineStr">
        <is>
          <t>Normal / moderate deficit</t>
        </is>
      </c>
      <c r="D3" s="70" t="inlineStr">
        <is>
          <t>Four-day upper/lower plan for normal dieting, maintenance, or slow fat loss.</t>
        </is>
      </c>
      <c r="E3" s="70" t="inlineStr">
        <is>
          <t>lower-a</t>
        </is>
      </c>
      <c r="F3" s="70" t="inlineStr">
        <is>
          <t>Lower A</t>
        </is>
      </c>
      <c r="G3" s="70" t="inlineStr">
        <is>
          <t>Monday</t>
        </is>
      </c>
      <c r="H3" s="70" t="n">
        <v>1</v>
      </c>
      <c r="I3" s="70" t="str"/>
      <c r="J3" s="70" t="inlineStr">
        <is>
          <t>ul4-lower-a-2</t>
        </is>
      </c>
      <c r="K3" s="70" t="inlineStr">
        <is>
          <t>EX008</t>
        </is>
      </c>
      <c r="L3" s="70" t="inlineStr">
        <is>
          <t>Romanian deadlift</t>
        </is>
      </c>
      <c r="M3" s="70" t="n">
        <v>2</v>
      </c>
      <c r="N3" s="70" t="n">
        <v>3</v>
      </c>
      <c r="O3" s="70" t="inlineStr">
        <is>
          <t>6-8</t>
        </is>
      </c>
      <c r="P3" s="70" t="inlineStr">
        <is>
          <t>1-2</t>
        </is>
      </c>
      <c r="Q3" s="70" t="n">
        <v>150</v>
      </c>
      <c r="R3" s="70" t="inlineStr">
        <is>
          <t>Replace with hip thrust or cable pull-through if lower back is limiting.</t>
        </is>
      </c>
      <c r="S3" s="70" t="b">
        <v>1</v>
      </c>
      <c r="T3" s="168" t="n">
        <v>46222.41666666666</v>
      </c>
    </row>
    <row r="4">
      <c r="A4" s="67" t="inlineStr">
        <is>
          <t>UL4</t>
        </is>
      </c>
      <c r="B4" s="70" t="inlineStr">
        <is>
          <t>Normal 4-day Upper/Lower</t>
        </is>
      </c>
      <c r="C4" s="70" t="inlineStr">
        <is>
          <t>Normal / moderate deficit</t>
        </is>
      </c>
      <c r="D4" s="70" t="inlineStr">
        <is>
          <t>Four-day upper/lower plan for normal dieting, maintenance, or slow fat loss.</t>
        </is>
      </c>
      <c r="E4" s="70" t="inlineStr">
        <is>
          <t>lower-a</t>
        </is>
      </c>
      <c r="F4" s="70" t="inlineStr">
        <is>
          <t>Lower A</t>
        </is>
      </c>
      <c r="G4" s="70" t="inlineStr">
        <is>
          <t>Monday</t>
        </is>
      </c>
      <c r="H4" s="70" t="n">
        <v>1</v>
      </c>
      <c r="I4" s="70" t="str"/>
      <c r="J4" s="70" t="inlineStr">
        <is>
          <t>ul4-lower-a-3</t>
        </is>
      </c>
      <c r="K4" s="70" t="inlineStr">
        <is>
          <t>EX006</t>
        </is>
      </c>
      <c r="L4" s="70" t="inlineStr">
        <is>
          <t>Bulgarian split squat</t>
        </is>
      </c>
      <c r="M4" s="70" t="n">
        <v>3</v>
      </c>
      <c r="N4" s="70" t="n">
        <v>2</v>
      </c>
      <c r="O4" s="70" t="inlineStr">
        <is>
          <t>8-12 each leg</t>
        </is>
      </c>
      <c r="P4" s="70" t="inlineStr">
        <is>
          <t>1-2</t>
        </is>
      </c>
      <c r="Q4" s="70" t="n">
        <v>90</v>
      </c>
      <c r="R4" s="70" t="str"/>
      <c r="S4" s="70" t="b">
        <v>1</v>
      </c>
      <c r="T4" s="168" t="n">
        <v>46222.41666666666</v>
      </c>
    </row>
    <row r="5">
      <c r="A5" s="67" t="inlineStr">
        <is>
          <t>UL4</t>
        </is>
      </c>
      <c r="B5" s="70" t="inlineStr">
        <is>
          <t>Normal 4-day Upper/Lower</t>
        </is>
      </c>
      <c r="C5" s="70" t="inlineStr">
        <is>
          <t>Normal / moderate deficit</t>
        </is>
      </c>
      <c r="D5" s="70" t="inlineStr">
        <is>
          <t>Four-day upper/lower plan for normal dieting, maintenance, or slow fat loss.</t>
        </is>
      </c>
      <c r="E5" s="70" t="inlineStr">
        <is>
          <t>lower-a</t>
        </is>
      </c>
      <c r="F5" s="70" t="inlineStr">
        <is>
          <t>Lower A</t>
        </is>
      </c>
      <c r="G5" s="70" t="inlineStr">
        <is>
          <t>Monday</t>
        </is>
      </c>
      <c r="H5" s="70" t="n">
        <v>1</v>
      </c>
      <c r="I5" s="70" t="str"/>
      <c r="J5" s="70" t="inlineStr">
        <is>
          <t>ul4-lower-a-4</t>
        </is>
      </c>
      <c r="K5" s="70" t="inlineStr">
        <is>
          <t>EX012</t>
        </is>
      </c>
      <c r="L5" s="70" t="inlineStr">
        <is>
          <t>Cable leg curl</t>
        </is>
      </c>
      <c r="M5" s="70" t="n">
        <v>4</v>
      </c>
      <c r="N5" s="70" t="n">
        <v>2</v>
      </c>
      <c r="O5" s="70" t="inlineStr">
        <is>
          <t>10-15</t>
        </is>
      </c>
      <c r="P5" s="70" t="inlineStr">
        <is>
          <t>1-2</t>
        </is>
      </c>
      <c r="Q5" s="70" t="n">
        <v>90</v>
      </c>
      <c r="R5" s="70" t="str"/>
      <c r="S5" s="70" t="b">
        <v>1</v>
      </c>
      <c r="T5" s="168" t="n">
        <v>46222.41666666666</v>
      </c>
    </row>
    <row r="6">
      <c r="A6" s="67" t="inlineStr">
        <is>
          <t>UL4</t>
        </is>
      </c>
      <c r="B6" s="70" t="inlineStr">
        <is>
          <t>Normal 4-day Upper/Lower</t>
        </is>
      </c>
      <c r="C6" s="70" t="inlineStr">
        <is>
          <t>Normal / moderate deficit</t>
        </is>
      </c>
      <c r="D6" s="70" t="inlineStr">
        <is>
          <t>Four-day upper/lower plan for normal dieting, maintenance, or slow fat loss.</t>
        </is>
      </c>
      <c r="E6" s="70" t="inlineStr">
        <is>
          <t>lower-a</t>
        </is>
      </c>
      <c r="F6" s="70" t="inlineStr">
        <is>
          <t>Lower A</t>
        </is>
      </c>
      <c r="G6" s="70" t="inlineStr">
        <is>
          <t>Monday</t>
        </is>
      </c>
      <c r="H6" s="70" t="n">
        <v>1</v>
      </c>
      <c r="I6" s="70" t="str"/>
      <c r="J6" s="70" t="inlineStr">
        <is>
          <t>ul4-lower-a-5</t>
        </is>
      </c>
      <c r="K6" s="70" t="inlineStr">
        <is>
          <t>EX013</t>
        </is>
      </c>
      <c r="L6" s="70" t="inlineStr">
        <is>
          <t>Standing calf raise</t>
        </is>
      </c>
      <c r="M6" s="70" t="n">
        <v>5</v>
      </c>
      <c r="N6" s="70" t="n">
        <v>3</v>
      </c>
      <c r="O6" s="70" t="inlineStr">
        <is>
          <t>8-15</t>
        </is>
      </c>
      <c r="P6" s="70" t="inlineStr">
        <is>
          <t>1-2</t>
        </is>
      </c>
      <c r="Q6" s="70" t="n">
        <v>90</v>
      </c>
      <c r="R6" s="70" t="str"/>
      <c r="S6" s="70" t="b">
        <v>1</v>
      </c>
      <c r="T6" s="168" t="n">
        <v>46222.41666666666</v>
      </c>
    </row>
    <row r="7">
      <c r="A7" s="67" t="inlineStr">
        <is>
          <t>UL4</t>
        </is>
      </c>
      <c r="B7" s="70" t="inlineStr">
        <is>
          <t>Normal 4-day Upper/Lower</t>
        </is>
      </c>
      <c r="C7" s="70" t="inlineStr">
        <is>
          <t>Normal / moderate deficit</t>
        </is>
      </c>
      <c r="D7" s="70" t="inlineStr">
        <is>
          <t>Four-day upper/lower plan for normal dieting, maintenance, or slow fat loss.</t>
        </is>
      </c>
      <c r="E7" s="70" t="inlineStr">
        <is>
          <t>lower-a</t>
        </is>
      </c>
      <c r="F7" s="70" t="inlineStr">
        <is>
          <t>Lower A</t>
        </is>
      </c>
      <c r="G7" s="70" t="inlineStr">
        <is>
          <t>Monday</t>
        </is>
      </c>
      <c r="H7" s="70" t="n">
        <v>1</v>
      </c>
      <c r="I7" s="70" t="str"/>
      <c r="J7" s="70" t="inlineStr">
        <is>
          <t>ul4-lower-a-6</t>
        </is>
      </c>
      <c r="K7" s="70" t="inlineStr">
        <is>
          <t>EX124</t>
        </is>
      </c>
      <c r="L7" s="70" t="inlineStr">
        <is>
          <t>Dead bug or Pallof press</t>
        </is>
      </c>
      <c r="M7" s="70" t="n">
        <v>6</v>
      </c>
      <c r="N7" s="70" t="n">
        <v>2</v>
      </c>
      <c r="O7" s="70" t="inlineStr">
        <is>
          <t>10-15</t>
        </is>
      </c>
      <c r="P7" s="70" t="inlineStr">
        <is>
          <t>2</t>
        </is>
      </c>
      <c r="Q7" s="70" t="n">
        <v>90</v>
      </c>
      <c r="R7" s="70" t="str"/>
      <c r="S7" s="70" t="b">
        <v>1</v>
      </c>
      <c r="T7" s="168" t="n">
        <v>46222.65625</v>
      </c>
    </row>
    <row r="8">
      <c r="A8" s="67" t="inlineStr">
        <is>
          <t>UL4</t>
        </is>
      </c>
      <c r="B8" s="70" t="inlineStr">
        <is>
          <t>Normal 4-day Upper/Lower</t>
        </is>
      </c>
      <c r="C8" s="70" t="inlineStr">
        <is>
          <t>Normal / moderate deficit</t>
        </is>
      </c>
      <c r="D8" s="70" t="inlineStr">
        <is>
          <t>Four-day upper/lower plan for normal dieting, maintenance, or slow fat loss.</t>
        </is>
      </c>
      <c r="E8" s="70" t="inlineStr">
        <is>
          <t>upper-a</t>
        </is>
      </c>
      <c r="F8" s="70" t="inlineStr">
        <is>
          <t>Upper A</t>
        </is>
      </c>
      <c r="G8" s="70" t="inlineStr">
        <is>
          <t>Tuesday</t>
        </is>
      </c>
      <c r="H8" s="70" t="n">
        <v>2</v>
      </c>
      <c r="I8" s="70" t="str"/>
      <c r="J8" s="70" t="inlineStr">
        <is>
          <t>ul4-upper-a-1</t>
        </is>
      </c>
      <c r="K8" s="70" t="inlineStr">
        <is>
          <t>EX014</t>
        </is>
      </c>
      <c r="L8" s="70" t="inlineStr">
        <is>
          <t>Barbell bench press</t>
        </is>
      </c>
      <c r="M8" s="70" t="n">
        <v>1</v>
      </c>
      <c r="N8" s="70" t="n">
        <v>3</v>
      </c>
      <c r="O8" s="70" t="inlineStr">
        <is>
          <t>6-8</t>
        </is>
      </c>
      <c r="P8" s="70" t="inlineStr">
        <is>
          <t>1-2</t>
        </is>
      </c>
      <c r="Q8" s="70" t="n">
        <v>150</v>
      </c>
      <c r="R8" s="70" t="str"/>
      <c r="S8" s="70" t="b">
        <v>1</v>
      </c>
      <c r="T8" s="168" t="n">
        <v>46222.41666666666</v>
      </c>
    </row>
    <row r="9">
      <c r="A9" s="67" t="inlineStr">
        <is>
          <t>UL4</t>
        </is>
      </c>
      <c r="B9" s="70" t="inlineStr">
        <is>
          <t>Normal 4-day Upper/Lower</t>
        </is>
      </c>
      <c r="C9" s="70" t="inlineStr">
        <is>
          <t>Normal / moderate deficit</t>
        </is>
      </c>
      <c r="D9" s="70" t="inlineStr">
        <is>
          <t>Four-day upper/lower plan for normal dieting, maintenance, or slow fat loss.</t>
        </is>
      </c>
      <c r="E9" s="70" t="inlineStr">
        <is>
          <t>upper-a</t>
        </is>
      </c>
      <c r="F9" s="70" t="inlineStr">
        <is>
          <t>Upper A</t>
        </is>
      </c>
      <c r="G9" s="70" t="inlineStr">
        <is>
          <t>Tuesday</t>
        </is>
      </c>
      <c r="H9" s="70" t="n">
        <v>2</v>
      </c>
      <c r="I9" s="70" t="str"/>
      <c r="J9" s="70" t="inlineStr">
        <is>
          <t>ul4-upper-a-2</t>
        </is>
      </c>
      <c r="K9" s="70" t="inlineStr">
        <is>
          <t>EX023</t>
        </is>
      </c>
      <c r="L9" s="70" t="inlineStr">
        <is>
          <t>Chest-supported dumbbell row</t>
        </is>
      </c>
      <c r="M9" s="70" t="n">
        <v>2</v>
      </c>
      <c r="N9" s="70" t="n">
        <v>3</v>
      </c>
      <c r="O9" s="70" t="inlineStr">
        <is>
          <t>6-10</t>
        </is>
      </c>
      <c r="P9" s="70" t="inlineStr">
        <is>
          <t>1-2</t>
        </is>
      </c>
      <c r="Q9" s="70" t="n">
        <v>150</v>
      </c>
      <c r="R9" s="70" t="inlineStr">
        <is>
          <t>Back-friendly row option.</t>
        </is>
      </c>
      <c r="S9" s="70" t="b">
        <v>1</v>
      </c>
      <c r="T9" s="168" t="n">
        <v>46222.41666666666</v>
      </c>
    </row>
    <row r="10">
      <c r="A10" s="67" t="inlineStr">
        <is>
          <t>UL4</t>
        </is>
      </c>
      <c r="B10" s="70" t="inlineStr">
        <is>
          <t>Normal 4-day Upper/Lower</t>
        </is>
      </c>
      <c r="C10" s="70" t="inlineStr">
        <is>
          <t>Normal / moderate deficit</t>
        </is>
      </c>
      <c r="D10" s="70" t="inlineStr">
        <is>
          <t>Four-day upper/lower plan for normal dieting, maintenance, or slow fat loss.</t>
        </is>
      </c>
      <c r="E10" s="70" t="inlineStr">
        <is>
          <t>upper-a</t>
        </is>
      </c>
      <c r="F10" s="70" t="inlineStr">
        <is>
          <t>Upper A</t>
        </is>
      </c>
      <c r="G10" s="70" t="inlineStr">
        <is>
          <t>Tuesday</t>
        </is>
      </c>
      <c r="H10" s="70" t="n">
        <v>2</v>
      </c>
      <c r="I10" s="70" t="str"/>
      <c r="J10" s="70" t="inlineStr">
        <is>
          <t>ul4-upper-a-3</t>
        </is>
      </c>
      <c r="K10" s="70" t="inlineStr">
        <is>
          <t>EX016</t>
        </is>
      </c>
      <c r="L10" s="70" t="inlineStr">
        <is>
          <t>Incline dumbbell press</t>
        </is>
      </c>
      <c r="M10" s="70" t="n">
        <v>3</v>
      </c>
      <c r="N10" s="70" t="n">
        <v>2</v>
      </c>
      <c r="O10" s="70" t="inlineStr">
        <is>
          <t>8-12</t>
        </is>
      </c>
      <c r="P10" s="70" t="inlineStr">
        <is>
          <t>1-2</t>
        </is>
      </c>
      <c r="Q10" s="70" t="n">
        <v>90</v>
      </c>
      <c r="R10" s="70" t="str"/>
      <c r="S10" s="70" t="b">
        <v>1</v>
      </c>
      <c r="T10" s="168" t="n">
        <v>46222.41666666666</v>
      </c>
    </row>
    <row r="11">
      <c r="A11" s="67" t="inlineStr">
        <is>
          <t>UL4</t>
        </is>
      </c>
      <c r="B11" s="70" t="inlineStr">
        <is>
          <t>Normal 4-day Upper/Lower</t>
        </is>
      </c>
      <c r="C11" s="70" t="inlineStr">
        <is>
          <t>Normal / moderate deficit</t>
        </is>
      </c>
      <c r="D11" s="70" t="inlineStr">
        <is>
          <t>Four-day upper/lower plan for normal dieting, maintenance, or slow fat loss.</t>
        </is>
      </c>
      <c r="E11" s="70" t="inlineStr">
        <is>
          <t>upper-a</t>
        </is>
      </c>
      <c r="F11" s="70" t="inlineStr">
        <is>
          <t>Upper A</t>
        </is>
      </c>
      <c r="G11" s="70" t="inlineStr">
        <is>
          <t>Tuesday</t>
        </is>
      </c>
      <c r="H11" s="70" t="n">
        <v>2</v>
      </c>
      <c r="I11" s="70" t="str"/>
      <c r="J11" s="70" t="inlineStr">
        <is>
          <t>ul4-upper-a-4</t>
        </is>
      </c>
      <c r="K11" s="70" t="inlineStr">
        <is>
          <t>EX125</t>
        </is>
      </c>
      <c r="L11" s="70" t="inlineStr">
        <is>
          <t>Cable lat pulldown or ring chin-up</t>
        </is>
      </c>
      <c r="M11" s="70" t="n">
        <v>4</v>
      </c>
      <c r="N11" s="70" t="n">
        <v>2</v>
      </c>
      <c r="O11" s="70" t="inlineStr">
        <is>
          <t>8-12</t>
        </is>
      </c>
      <c r="P11" s="70" t="inlineStr">
        <is>
          <t>1-2</t>
        </is>
      </c>
      <c r="Q11" s="70" t="n">
        <v>90</v>
      </c>
      <c r="R11" s="70" t="str"/>
      <c r="S11" s="70" t="b">
        <v>1</v>
      </c>
      <c r="T11" s="168" t="n">
        <v>46222.65625</v>
      </c>
    </row>
    <row r="12">
      <c r="A12" s="67" t="inlineStr">
        <is>
          <t>UL4</t>
        </is>
      </c>
      <c r="B12" s="70" t="inlineStr">
        <is>
          <t>Normal 4-day Upper/Lower</t>
        </is>
      </c>
      <c r="C12" s="70" t="inlineStr">
        <is>
          <t>Normal / moderate deficit</t>
        </is>
      </c>
      <c r="D12" s="70" t="inlineStr">
        <is>
          <t>Four-day upper/lower plan for normal dieting, maintenance, or slow fat loss.</t>
        </is>
      </c>
      <c r="E12" s="70" t="inlineStr">
        <is>
          <t>upper-a</t>
        </is>
      </c>
      <c r="F12" s="70" t="inlineStr">
        <is>
          <t>Upper A</t>
        </is>
      </c>
      <c r="G12" s="70" t="inlineStr">
        <is>
          <t>Tuesday</t>
        </is>
      </c>
      <c r="H12" s="70" t="n">
        <v>2</v>
      </c>
      <c r="I12" s="70" t="str"/>
      <c r="J12" s="70" t="inlineStr">
        <is>
          <t>ul4-upper-a-5</t>
        </is>
      </c>
      <c r="K12" s="70" t="inlineStr">
        <is>
          <t>EX033</t>
        </is>
      </c>
      <c r="L12" s="70" t="inlineStr">
        <is>
          <t>Cable lateral raise</t>
        </is>
      </c>
      <c r="M12" s="70" t="n">
        <v>5</v>
      </c>
      <c r="N12" s="70" t="n">
        <v>3</v>
      </c>
      <c r="O12" s="70" t="inlineStr">
        <is>
          <t>12-20</t>
        </is>
      </c>
      <c r="P12" s="70" t="inlineStr">
        <is>
          <t>1</t>
        </is>
      </c>
      <c r="Q12" s="70" t="n">
        <v>90</v>
      </c>
      <c r="R12" s="70" t="inlineStr">
        <is>
          <t>GVS-style controlled delt work.</t>
        </is>
      </c>
      <c r="S12" s="70" t="b">
        <v>1</v>
      </c>
      <c r="T12" s="168" t="n">
        <v>46222.41666666666</v>
      </c>
    </row>
    <row r="13">
      <c r="A13" s="67" t="inlineStr">
        <is>
          <t>UL4</t>
        </is>
      </c>
      <c r="B13" s="70" t="inlineStr">
        <is>
          <t>Normal 4-day Upper/Lower</t>
        </is>
      </c>
      <c r="C13" s="70" t="inlineStr">
        <is>
          <t>Normal / moderate deficit</t>
        </is>
      </c>
      <c r="D13" s="70" t="inlineStr">
        <is>
          <t>Four-day upper/lower plan for normal dieting, maintenance, or slow fat loss.</t>
        </is>
      </c>
      <c r="E13" s="70" t="inlineStr">
        <is>
          <t>upper-a</t>
        </is>
      </c>
      <c r="F13" s="70" t="inlineStr">
        <is>
          <t>Upper A</t>
        </is>
      </c>
      <c r="G13" s="70" t="inlineStr">
        <is>
          <t>Tuesday</t>
        </is>
      </c>
      <c r="H13" s="70" t="n">
        <v>2</v>
      </c>
      <c r="I13" s="70" t="str"/>
      <c r="J13" s="70" t="inlineStr">
        <is>
          <t>ul4-upper-a-6</t>
        </is>
      </c>
      <c r="K13" s="70" t="inlineStr">
        <is>
          <t>EX038</t>
        </is>
      </c>
      <c r="L13" s="70" t="inlineStr">
        <is>
          <t>Cable triceps pushdown</t>
        </is>
      </c>
      <c r="M13" s="70" t="n">
        <v>6</v>
      </c>
      <c r="N13" s="70" t="n">
        <v>2</v>
      </c>
      <c r="O13" s="70" t="inlineStr">
        <is>
          <t>10-15</t>
        </is>
      </c>
      <c r="P13" s="70" t="inlineStr">
        <is>
          <t>1</t>
        </is>
      </c>
      <c r="Q13" s="70" t="n">
        <v>90</v>
      </c>
      <c r="R13" s="70" t="str"/>
      <c r="S13" s="70" t="b">
        <v>1</v>
      </c>
      <c r="T13" s="168" t="n">
        <v>46222.41666666666</v>
      </c>
    </row>
    <row r="14">
      <c r="A14" s="67" t="inlineStr">
        <is>
          <t>UL4</t>
        </is>
      </c>
      <c r="B14" s="70" t="inlineStr">
        <is>
          <t>Normal 4-day Upper/Lower</t>
        </is>
      </c>
      <c r="C14" s="70" t="inlineStr">
        <is>
          <t>Normal / moderate deficit</t>
        </is>
      </c>
      <c r="D14" s="70" t="inlineStr">
        <is>
          <t>Four-day upper/lower plan for normal dieting, maintenance, or slow fat loss.</t>
        </is>
      </c>
      <c r="E14" s="70" t="inlineStr">
        <is>
          <t>upper-a</t>
        </is>
      </c>
      <c r="F14" s="70" t="inlineStr">
        <is>
          <t>Upper A</t>
        </is>
      </c>
      <c r="G14" s="70" t="inlineStr">
        <is>
          <t>Tuesday</t>
        </is>
      </c>
      <c r="H14" s="70" t="n">
        <v>2</v>
      </c>
      <c r="I14" s="70" t="str"/>
      <c r="J14" s="70" t="inlineStr">
        <is>
          <t>ul4-upper-a-7</t>
        </is>
      </c>
      <c r="K14" s="70" t="inlineStr">
        <is>
          <t>EX126</t>
        </is>
      </c>
      <c r="L14" s="70" t="inlineStr">
        <is>
          <t>Incline dumbbell or cable curl</t>
        </is>
      </c>
      <c r="M14" s="70" t="n">
        <v>7</v>
      </c>
      <c r="N14" s="70" t="n">
        <v>2</v>
      </c>
      <c r="O14" s="70" t="inlineStr">
        <is>
          <t>10-15</t>
        </is>
      </c>
      <c r="P14" s="70" t="inlineStr">
        <is>
          <t>1</t>
        </is>
      </c>
      <c r="Q14" s="70" t="n">
        <v>90</v>
      </c>
      <c r="R14" s="70" t="str"/>
      <c r="S14" s="70" t="b">
        <v>1</v>
      </c>
      <c r="T14" s="168" t="n">
        <v>46222.65625</v>
      </c>
    </row>
    <row r="15">
      <c r="A15" s="67" t="inlineStr">
        <is>
          <t>UL4</t>
        </is>
      </c>
      <c r="B15" s="70" t="inlineStr">
        <is>
          <t>Normal 4-day Upper/Lower</t>
        </is>
      </c>
      <c r="C15" s="70" t="inlineStr">
        <is>
          <t>Normal / moderate deficit</t>
        </is>
      </c>
      <c r="D15" s="70" t="inlineStr">
        <is>
          <t>Four-day upper/lower plan for normal dieting, maintenance, or slow fat loss.</t>
        </is>
      </c>
      <c r="E15" s="70" t="inlineStr">
        <is>
          <t>lower-b</t>
        </is>
      </c>
      <c r="F15" s="70" t="inlineStr">
        <is>
          <t>Lower B</t>
        </is>
      </c>
      <c r="G15" s="70" t="inlineStr">
        <is>
          <t>Thursday</t>
        </is>
      </c>
      <c r="H15" s="70" t="n">
        <v>3</v>
      </c>
      <c r="I15" s="70" t="str"/>
      <c r="J15" s="70" t="inlineStr">
        <is>
          <t>ul4-lower-b-1</t>
        </is>
      </c>
      <c r="K15" s="70" t="inlineStr">
        <is>
          <t>EX127</t>
        </is>
      </c>
      <c r="L15" s="70" t="inlineStr">
        <is>
          <t>Front squat or heels-elevated squat</t>
        </is>
      </c>
      <c r="M15" s="70" t="n">
        <v>1</v>
      </c>
      <c r="N15" s="70" t="n">
        <v>3</v>
      </c>
      <c r="O15" s="70" t="inlineStr">
        <is>
          <t>6-10</t>
        </is>
      </c>
      <c r="P15" s="70" t="inlineStr">
        <is>
          <t>1-2</t>
        </is>
      </c>
      <c r="Q15" s="70" t="n">
        <v>150</v>
      </c>
      <c r="R15" s="70" t="inlineStr">
        <is>
          <t>Choose the squat pattern that feels best.</t>
        </is>
      </c>
      <c r="S15" s="70" t="b">
        <v>1</v>
      </c>
      <c r="T15" s="168" t="n">
        <v>46222.65625</v>
      </c>
    </row>
    <row r="16">
      <c r="A16" s="67" t="inlineStr">
        <is>
          <t>UL4</t>
        </is>
      </c>
      <c r="B16" s="70" t="inlineStr">
        <is>
          <t>Normal 4-day Upper/Lower</t>
        </is>
      </c>
      <c r="C16" s="70" t="inlineStr">
        <is>
          <t>Normal / moderate deficit</t>
        </is>
      </c>
      <c r="D16" s="70" t="inlineStr">
        <is>
          <t>Four-day upper/lower plan for normal dieting, maintenance, or slow fat loss.</t>
        </is>
      </c>
      <c r="E16" s="70" t="inlineStr">
        <is>
          <t>lower-b</t>
        </is>
      </c>
      <c r="F16" s="70" t="inlineStr">
        <is>
          <t>Lower B</t>
        </is>
      </c>
      <c r="G16" s="70" t="inlineStr">
        <is>
          <t>Thursday</t>
        </is>
      </c>
      <c r="H16" s="70" t="n">
        <v>3</v>
      </c>
      <c r="I16" s="70" t="str"/>
      <c r="J16" s="70" t="inlineStr">
        <is>
          <t>ul4-lower-b-2</t>
        </is>
      </c>
      <c r="K16" s="70" t="inlineStr">
        <is>
          <t>EX010</t>
        </is>
      </c>
      <c r="L16" s="70" t="inlineStr">
        <is>
          <t>Barbell hip thrust</t>
        </is>
      </c>
      <c r="M16" s="70" t="n">
        <v>2</v>
      </c>
      <c r="N16" s="70" t="n">
        <v>3</v>
      </c>
      <c r="O16" s="70" t="inlineStr">
        <is>
          <t>8-12</t>
        </is>
      </c>
      <c r="P16" s="70" t="inlineStr">
        <is>
          <t>1-2</t>
        </is>
      </c>
      <c r="Q16" s="70" t="n">
        <v>150</v>
      </c>
      <c r="R16" s="70" t="str"/>
      <c r="S16" s="70" t="b">
        <v>1</v>
      </c>
      <c r="T16" s="168" t="n">
        <v>46222.41666666666</v>
      </c>
    </row>
    <row r="17">
      <c r="A17" s="67" t="inlineStr">
        <is>
          <t>UL4</t>
        </is>
      </c>
      <c r="B17" s="70" t="inlineStr">
        <is>
          <t>Normal 4-day Upper/Lower</t>
        </is>
      </c>
      <c r="C17" s="70" t="inlineStr">
        <is>
          <t>Normal / moderate deficit</t>
        </is>
      </c>
      <c r="D17" s="70" t="inlineStr">
        <is>
          <t>Four-day upper/lower plan for normal dieting, maintenance, or slow fat loss.</t>
        </is>
      </c>
      <c r="E17" s="70" t="inlineStr">
        <is>
          <t>lower-b</t>
        </is>
      </c>
      <c r="F17" s="70" t="inlineStr">
        <is>
          <t>Lower B</t>
        </is>
      </c>
      <c r="G17" s="70" t="inlineStr">
        <is>
          <t>Thursday</t>
        </is>
      </c>
      <c r="H17" s="70" t="n">
        <v>3</v>
      </c>
      <c r="I17" s="70" t="str"/>
      <c r="J17" s="70" t="inlineStr">
        <is>
          <t>ul4-lower-b-3</t>
        </is>
      </c>
      <c r="K17" s="70" t="inlineStr">
        <is>
          <t>EX007</t>
        </is>
      </c>
      <c r="L17" s="70" t="inlineStr">
        <is>
          <t>Reverse lunge</t>
        </is>
      </c>
      <c r="M17" s="70" t="n">
        <v>3</v>
      </c>
      <c r="N17" s="70" t="n">
        <v>2</v>
      </c>
      <c r="O17" s="70" t="inlineStr">
        <is>
          <t>8-12 each leg</t>
        </is>
      </c>
      <c r="P17" s="70" t="inlineStr">
        <is>
          <t>1-2</t>
        </is>
      </c>
      <c r="Q17" s="70" t="n">
        <v>90</v>
      </c>
      <c r="R17" s="70" t="str"/>
      <c r="S17" s="70" t="b">
        <v>1</v>
      </c>
      <c r="T17" s="168" t="n">
        <v>46222.41666666666</v>
      </c>
    </row>
    <row r="18">
      <c r="A18" s="67" t="inlineStr">
        <is>
          <t>UL4</t>
        </is>
      </c>
      <c r="B18" s="70" t="inlineStr">
        <is>
          <t>Normal 4-day Upper/Lower</t>
        </is>
      </c>
      <c r="C18" s="70" t="inlineStr">
        <is>
          <t>Normal / moderate deficit</t>
        </is>
      </c>
      <c r="D18" s="70" t="inlineStr">
        <is>
          <t>Four-day upper/lower plan for normal dieting, maintenance, or slow fat loss.</t>
        </is>
      </c>
      <c r="E18" s="70" t="inlineStr">
        <is>
          <t>lower-b</t>
        </is>
      </c>
      <c r="F18" s="70" t="inlineStr">
        <is>
          <t>Lower B</t>
        </is>
      </c>
      <c r="G18" s="70" t="inlineStr">
        <is>
          <t>Thursday</t>
        </is>
      </c>
      <c r="H18" s="70" t="n">
        <v>3</v>
      </c>
      <c r="I18" s="70" t="str"/>
      <c r="J18" s="70" t="inlineStr">
        <is>
          <t>ul4-lower-b-4</t>
        </is>
      </c>
      <c r="K18" s="70" t="inlineStr">
        <is>
          <t>EX012</t>
        </is>
      </c>
      <c r="L18" s="70" t="inlineStr">
        <is>
          <t>Cable leg curl</t>
        </is>
      </c>
      <c r="M18" s="70" t="n">
        <v>4</v>
      </c>
      <c r="N18" s="70" t="n">
        <v>2</v>
      </c>
      <c r="O18" s="70" t="inlineStr">
        <is>
          <t>12-20</t>
        </is>
      </c>
      <c r="P18" s="70" t="inlineStr">
        <is>
          <t>1-2</t>
        </is>
      </c>
      <c r="Q18" s="70" t="n">
        <v>90</v>
      </c>
      <c r="R18" s="70" t="str"/>
      <c r="S18" s="70" t="b">
        <v>1</v>
      </c>
      <c r="T18" s="168" t="n">
        <v>46222.41666666666</v>
      </c>
    </row>
    <row r="19">
      <c r="A19" s="67" t="inlineStr">
        <is>
          <t>UL4</t>
        </is>
      </c>
      <c r="B19" s="70" t="inlineStr">
        <is>
          <t>Normal 4-day Upper/Lower</t>
        </is>
      </c>
      <c r="C19" s="70" t="inlineStr">
        <is>
          <t>Normal / moderate deficit</t>
        </is>
      </c>
      <c r="D19" s="70" t="inlineStr">
        <is>
          <t>Four-day upper/lower plan for normal dieting, maintenance, or slow fat loss.</t>
        </is>
      </c>
      <c r="E19" s="70" t="inlineStr">
        <is>
          <t>lower-b</t>
        </is>
      </c>
      <c r="F19" s="70" t="inlineStr">
        <is>
          <t>Lower B</t>
        </is>
      </c>
      <c r="G19" s="70" t="inlineStr">
        <is>
          <t>Thursday</t>
        </is>
      </c>
      <c r="H19" s="70" t="n">
        <v>3</v>
      </c>
      <c r="I19" s="70" t="str"/>
      <c r="J19" s="70" t="inlineStr">
        <is>
          <t>ul4-lower-b-5</t>
        </is>
      </c>
      <c r="K19" s="70" t="inlineStr">
        <is>
          <t>EX013</t>
        </is>
      </c>
      <c r="L19" s="70" t="inlineStr">
        <is>
          <t>Standing calf raise</t>
        </is>
      </c>
      <c r="M19" s="70" t="n">
        <v>5</v>
      </c>
      <c r="N19" s="70" t="n">
        <v>3</v>
      </c>
      <c r="O19" s="70" t="inlineStr">
        <is>
          <t>12-20</t>
        </is>
      </c>
      <c r="P19" s="70" t="inlineStr">
        <is>
          <t>1-2</t>
        </is>
      </c>
      <c r="Q19" s="70" t="n">
        <v>90</v>
      </c>
      <c r="R19" s="70" t="str"/>
      <c r="S19" s="70" t="b">
        <v>1</v>
      </c>
      <c r="T19" s="168" t="n">
        <v>46222.41666666666</v>
      </c>
    </row>
    <row r="20">
      <c r="A20" s="67" t="inlineStr">
        <is>
          <t>UL4</t>
        </is>
      </c>
      <c r="B20" s="70" t="inlineStr">
        <is>
          <t>Normal 4-day Upper/Lower</t>
        </is>
      </c>
      <c r="C20" s="70" t="inlineStr">
        <is>
          <t>Normal / moderate deficit</t>
        </is>
      </c>
      <c r="D20" s="70" t="inlineStr">
        <is>
          <t>Four-day upper/lower plan for normal dieting, maintenance, or slow fat loss.</t>
        </is>
      </c>
      <c r="E20" s="70" t="inlineStr">
        <is>
          <t>lower-b</t>
        </is>
      </c>
      <c r="F20" s="70" t="inlineStr">
        <is>
          <t>Lower B</t>
        </is>
      </c>
      <c r="G20" s="70" t="inlineStr">
        <is>
          <t>Thursday</t>
        </is>
      </c>
      <c r="H20" s="70" t="n">
        <v>3</v>
      </c>
      <c r="I20" s="70" t="str"/>
      <c r="J20" s="70" t="inlineStr">
        <is>
          <t>ul4-lower-b-6</t>
        </is>
      </c>
      <c r="K20" s="70" t="inlineStr">
        <is>
          <t>EX128</t>
        </is>
      </c>
      <c r="L20" s="70" t="inlineStr">
        <is>
          <t>Ab wheel or cable crunch</t>
        </is>
      </c>
      <c r="M20" s="70" t="n">
        <v>6</v>
      </c>
      <c r="N20" s="70" t="n">
        <v>2</v>
      </c>
      <c r="O20" s="70" t="inlineStr">
        <is>
          <t>8-15</t>
        </is>
      </c>
      <c r="P20" s="70" t="inlineStr">
        <is>
          <t>1-2</t>
        </is>
      </c>
      <c r="Q20" s="70" t="n">
        <v>90</v>
      </c>
      <c r="R20" s="70" t="str"/>
      <c r="S20" s="70" t="b">
        <v>1</v>
      </c>
      <c r="T20" s="168" t="n">
        <v>46222.65625</v>
      </c>
    </row>
    <row r="21">
      <c r="A21" s="67" t="inlineStr">
        <is>
          <t>UL4</t>
        </is>
      </c>
      <c r="B21" s="70" t="inlineStr">
        <is>
          <t>Normal 4-day Upper/Lower</t>
        </is>
      </c>
      <c r="C21" s="70" t="inlineStr">
        <is>
          <t>Normal / moderate deficit</t>
        </is>
      </c>
      <c r="D21" s="70" t="inlineStr">
        <is>
          <t>Four-day upper/lower plan for normal dieting, maintenance, or slow fat loss.</t>
        </is>
      </c>
      <c r="E21" s="70" t="inlineStr">
        <is>
          <t>upper-b</t>
        </is>
      </c>
      <c r="F21" s="70" t="inlineStr">
        <is>
          <t>Upper B</t>
        </is>
      </c>
      <c r="G21" s="70" t="inlineStr">
        <is>
          <t>Friday</t>
        </is>
      </c>
      <c r="H21" s="70" t="n">
        <v>4</v>
      </c>
      <c r="I21" s="70" t="str"/>
      <c r="J21" s="70" t="inlineStr">
        <is>
          <t>ul4-upper-b-1</t>
        </is>
      </c>
      <c r="K21" s="70" t="inlineStr">
        <is>
          <t>EX129</t>
        </is>
      </c>
      <c r="L21" s="70" t="inlineStr">
        <is>
          <t>Weighted chin-up or heavy pulldown</t>
        </is>
      </c>
      <c r="M21" s="70" t="n">
        <v>1</v>
      </c>
      <c r="N21" s="70" t="n">
        <v>3</v>
      </c>
      <c r="O21" s="70" t="inlineStr">
        <is>
          <t>6-8</t>
        </is>
      </c>
      <c r="P21" s="70" t="inlineStr">
        <is>
          <t>1-2</t>
        </is>
      </c>
      <c r="Q21" s="70" t="n">
        <v>150</v>
      </c>
      <c r="R21" s="70" t="str"/>
      <c r="S21" s="70" t="b">
        <v>1</v>
      </c>
      <c r="T21" s="168" t="n">
        <v>46222.65625</v>
      </c>
    </row>
    <row r="22">
      <c r="A22" s="67" t="inlineStr">
        <is>
          <t>UL4</t>
        </is>
      </c>
      <c r="B22" s="70" t="inlineStr">
        <is>
          <t>Normal 4-day Upper/Lower</t>
        </is>
      </c>
      <c r="C22" s="70" t="inlineStr">
        <is>
          <t>Normal / moderate deficit</t>
        </is>
      </c>
      <c r="D22" s="70" t="inlineStr">
        <is>
          <t>Four-day upper/lower plan for normal dieting, maintenance, or slow fat loss.</t>
        </is>
      </c>
      <c r="E22" s="70" t="inlineStr">
        <is>
          <t>upper-b</t>
        </is>
      </c>
      <c r="F22" s="70" t="inlineStr">
        <is>
          <t>Upper B</t>
        </is>
      </c>
      <c r="G22" s="70" t="inlineStr">
        <is>
          <t>Friday</t>
        </is>
      </c>
      <c r="H22" s="70" t="n">
        <v>4</v>
      </c>
      <c r="I22" s="70" t="str"/>
      <c r="J22" s="70" t="inlineStr">
        <is>
          <t>ul4-upper-b-2</t>
        </is>
      </c>
      <c r="K22" s="70" t="inlineStr">
        <is>
          <t>EX020</t>
        </is>
      </c>
      <c r="L22" s="70" t="inlineStr">
        <is>
          <t>Seated dumbbell overhead press</t>
        </is>
      </c>
      <c r="M22" s="70" t="n">
        <v>2</v>
      </c>
      <c r="N22" s="70" t="n">
        <v>3</v>
      </c>
      <c r="O22" s="70" t="inlineStr">
        <is>
          <t>6-10</t>
        </is>
      </c>
      <c r="P22" s="70" t="inlineStr">
        <is>
          <t>1-2</t>
        </is>
      </c>
      <c r="Q22" s="70" t="n">
        <v>150</v>
      </c>
      <c r="R22" s="70" t="str"/>
      <c r="S22" s="70" t="b">
        <v>1</v>
      </c>
      <c r="T22" s="168" t="n">
        <v>46222.41666666666</v>
      </c>
    </row>
    <row r="23">
      <c r="A23" s="67" t="inlineStr">
        <is>
          <t>UL4</t>
        </is>
      </c>
      <c r="B23" s="70" t="inlineStr">
        <is>
          <t>Normal 4-day Upper/Lower</t>
        </is>
      </c>
      <c r="C23" s="70" t="inlineStr">
        <is>
          <t>Normal / moderate deficit</t>
        </is>
      </c>
      <c r="D23" s="70" t="inlineStr">
        <is>
          <t>Four-day upper/lower plan for normal dieting, maintenance, or slow fat loss.</t>
        </is>
      </c>
      <c r="E23" s="70" t="inlineStr">
        <is>
          <t>upper-b</t>
        </is>
      </c>
      <c r="F23" s="70" t="inlineStr">
        <is>
          <t>Upper B</t>
        </is>
      </c>
      <c r="G23" s="70" t="inlineStr">
        <is>
          <t>Friday</t>
        </is>
      </c>
      <c r="H23" s="70" t="n">
        <v>4</v>
      </c>
      <c r="I23" s="70" t="str"/>
      <c r="J23" s="70" t="inlineStr">
        <is>
          <t>ul4-upper-b-3</t>
        </is>
      </c>
      <c r="K23" s="70" t="inlineStr">
        <is>
          <t>EX024</t>
        </is>
      </c>
      <c r="L23" s="70" t="inlineStr">
        <is>
          <t>One-arm cable row</t>
        </is>
      </c>
      <c r="M23" s="70" t="n">
        <v>3</v>
      </c>
      <c r="N23" s="70" t="n">
        <v>2</v>
      </c>
      <c r="O23" s="70" t="inlineStr">
        <is>
          <t>8-12</t>
        </is>
      </c>
      <c r="P23" s="70" t="inlineStr">
        <is>
          <t>1-2</t>
        </is>
      </c>
      <c r="Q23" s="70" t="n">
        <v>90</v>
      </c>
      <c r="R23" s="70" t="str"/>
      <c r="S23" s="70" t="b">
        <v>1</v>
      </c>
      <c r="T23" s="168" t="n">
        <v>46222.41666666666</v>
      </c>
    </row>
    <row r="24">
      <c r="A24" s="67" t="inlineStr">
        <is>
          <t>UL4</t>
        </is>
      </c>
      <c r="B24" s="70" t="inlineStr">
        <is>
          <t>Normal 4-day Upper/Lower</t>
        </is>
      </c>
      <c r="C24" s="70" t="inlineStr">
        <is>
          <t>Normal / moderate deficit</t>
        </is>
      </c>
      <c r="D24" s="70" t="inlineStr">
        <is>
          <t>Four-day upper/lower plan for normal dieting, maintenance, or slow fat loss.</t>
        </is>
      </c>
      <c r="E24" s="70" t="inlineStr">
        <is>
          <t>upper-b</t>
        </is>
      </c>
      <c r="F24" s="70" t="inlineStr">
        <is>
          <t>Upper B</t>
        </is>
      </c>
      <c r="G24" s="70" t="inlineStr">
        <is>
          <t>Friday</t>
        </is>
      </c>
      <c r="H24" s="70" t="n">
        <v>4</v>
      </c>
      <c r="I24" s="70" t="str"/>
      <c r="J24" s="70" t="inlineStr">
        <is>
          <t>ul4-upper-b-4</t>
        </is>
      </c>
      <c r="K24" s="70" t="inlineStr">
        <is>
          <t>EX130</t>
        </is>
      </c>
      <c r="L24" s="70" t="inlineStr">
        <is>
          <t>Close-grip bench press or weighted ring push-up</t>
        </is>
      </c>
      <c r="M24" s="70" t="n">
        <v>4</v>
      </c>
      <c r="N24" s="70" t="n">
        <v>2</v>
      </c>
      <c r="O24" s="70" t="inlineStr">
        <is>
          <t>8-12</t>
        </is>
      </c>
      <c r="P24" s="70" t="inlineStr">
        <is>
          <t>1-2</t>
        </is>
      </c>
      <c r="Q24" s="70" t="n">
        <v>90</v>
      </c>
      <c r="R24" s="70" t="str"/>
      <c r="S24" s="70" t="b">
        <v>1</v>
      </c>
      <c r="T24" s="168" t="n">
        <v>46222.65625</v>
      </c>
    </row>
    <row r="25">
      <c r="A25" s="67" t="inlineStr">
        <is>
          <t>UL4</t>
        </is>
      </c>
      <c r="B25" s="70" t="inlineStr">
        <is>
          <t>Normal 4-day Upper/Lower</t>
        </is>
      </c>
      <c r="C25" s="70" t="inlineStr">
        <is>
          <t>Normal / moderate deficit</t>
        </is>
      </c>
      <c r="D25" s="70" t="inlineStr">
        <is>
          <t>Four-day upper/lower plan for normal dieting, maintenance, or slow fat loss.</t>
        </is>
      </c>
      <c r="E25" s="70" t="inlineStr">
        <is>
          <t>upper-b</t>
        </is>
      </c>
      <c r="F25" s="70" t="inlineStr">
        <is>
          <t>Upper B</t>
        </is>
      </c>
      <c r="G25" s="70" t="inlineStr">
        <is>
          <t>Friday</t>
        </is>
      </c>
      <c r="H25" s="70" t="n">
        <v>4</v>
      </c>
      <c r="I25" s="70" t="str"/>
      <c r="J25" s="70" t="inlineStr">
        <is>
          <t>ul4-upper-b-5</t>
        </is>
      </c>
      <c r="K25" s="70" t="inlineStr">
        <is>
          <t>EX131</t>
        </is>
      </c>
      <c r="L25" s="70" t="inlineStr">
        <is>
          <t>Cable rear-delt fly or face pull</t>
        </is>
      </c>
      <c r="M25" s="70" t="n">
        <v>5</v>
      </c>
      <c r="N25" s="70" t="n">
        <v>3</v>
      </c>
      <c r="O25" s="70" t="inlineStr">
        <is>
          <t>12-20</t>
        </is>
      </c>
      <c r="P25" s="70" t="inlineStr">
        <is>
          <t>1</t>
        </is>
      </c>
      <c r="Q25" s="70" t="n">
        <v>90</v>
      </c>
      <c r="R25" s="70" t="str"/>
      <c r="S25" s="70" t="b">
        <v>1</v>
      </c>
      <c r="T25" s="168" t="n">
        <v>46222.65625</v>
      </c>
    </row>
    <row r="26">
      <c r="A26" s="67" t="inlineStr">
        <is>
          <t>UL4</t>
        </is>
      </c>
      <c r="B26" s="70" t="inlineStr">
        <is>
          <t>Normal 4-day Upper/Lower</t>
        </is>
      </c>
      <c r="C26" s="70" t="inlineStr">
        <is>
          <t>Normal / moderate deficit</t>
        </is>
      </c>
      <c r="D26" s="70" t="inlineStr">
        <is>
          <t>Four-day upper/lower plan for normal dieting, maintenance, or slow fat loss.</t>
        </is>
      </c>
      <c r="E26" s="70" t="inlineStr">
        <is>
          <t>upper-b</t>
        </is>
      </c>
      <c r="F26" s="70" t="inlineStr">
        <is>
          <t>Upper B</t>
        </is>
      </c>
      <c r="G26" s="70" t="inlineStr">
        <is>
          <t>Friday</t>
        </is>
      </c>
      <c r="H26" s="70" t="n">
        <v>4</v>
      </c>
      <c r="I26" s="70" t="str"/>
      <c r="J26" s="70" t="inlineStr">
        <is>
          <t>ul4-upper-b-6</t>
        </is>
      </c>
      <c r="K26" s="70" t="inlineStr">
        <is>
          <t>EX033</t>
        </is>
      </c>
      <c r="L26" s="70" t="inlineStr">
        <is>
          <t>Cable lateral raise</t>
        </is>
      </c>
      <c r="M26" s="70" t="n">
        <v>6</v>
      </c>
      <c r="N26" s="70" t="n">
        <v>2</v>
      </c>
      <c r="O26" s="70" t="inlineStr">
        <is>
          <t>12-20</t>
        </is>
      </c>
      <c r="P26" s="70" t="inlineStr">
        <is>
          <t>1</t>
        </is>
      </c>
      <c r="Q26" s="70" t="n">
        <v>90</v>
      </c>
      <c r="R26" s="70" t="str"/>
      <c r="S26" s="70" t="b">
        <v>1</v>
      </c>
      <c r="T26" s="168" t="n">
        <v>46222.41666666666</v>
      </c>
    </row>
    <row r="27">
      <c r="A27" s="67" t="inlineStr">
        <is>
          <t>UL4</t>
        </is>
      </c>
      <c r="B27" s="70" t="inlineStr">
        <is>
          <t>Normal 4-day Upper/Lower</t>
        </is>
      </c>
      <c r="C27" s="70" t="inlineStr">
        <is>
          <t>Normal / moderate deficit</t>
        </is>
      </c>
      <c r="D27" s="70" t="inlineStr">
        <is>
          <t>Four-day upper/lower plan for normal dieting, maintenance, or slow fat loss.</t>
        </is>
      </c>
      <c r="E27" s="70" t="inlineStr">
        <is>
          <t>upper-b</t>
        </is>
      </c>
      <c r="F27" s="70" t="inlineStr">
        <is>
          <t>Upper B</t>
        </is>
      </c>
      <c r="G27" s="70" t="inlineStr">
        <is>
          <t>Friday</t>
        </is>
      </c>
      <c r="H27" s="70" t="n">
        <v>4</v>
      </c>
      <c r="I27" s="70" t="str"/>
      <c r="J27" s="70" t="inlineStr">
        <is>
          <t>ul4-upper-b-7</t>
        </is>
      </c>
      <c r="K27" s="70" t="inlineStr">
        <is>
          <t>EX039</t>
        </is>
      </c>
      <c r="L27" s="70" t="inlineStr">
        <is>
          <t>Overhead cable triceps extension</t>
        </is>
      </c>
      <c r="M27" s="70" t="n">
        <v>7</v>
      </c>
      <c r="N27" s="70" t="n">
        <v>2</v>
      </c>
      <c r="O27" s="70" t="inlineStr">
        <is>
          <t>10-15</t>
        </is>
      </c>
      <c r="P27" s="70" t="inlineStr">
        <is>
          <t>1</t>
        </is>
      </c>
      <c r="Q27" s="70" t="n">
        <v>90</v>
      </c>
      <c r="R27" s="70" t="str"/>
      <c r="S27" s="70" t="b">
        <v>1</v>
      </c>
      <c r="T27" s="168" t="n">
        <v>46222.41666666666</v>
      </c>
    </row>
    <row r="28">
      <c r="A28" s="67" t="inlineStr">
        <is>
          <t>UL4</t>
        </is>
      </c>
      <c r="B28" s="70" t="inlineStr">
        <is>
          <t>Normal 4-day Upper/Lower</t>
        </is>
      </c>
      <c r="C28" s="70" t="inlineStr">
        <is>
          <t>Normal / moderate deficit</t>
        </is>
      </c>
      <c r="D28" s="70" t="inlineStr">
        <is>
          <t>Four-day upper/lower plan for normal dieting, maintenance, or slow fat loss.</t>
        </is>
      </c>
      <c r="E28" s="70" t="inlineStr">
        <is>
          <t>upper-b</t>
        </is>
      </c>
      <c r="F28" s="70" t="inlineStr">
        <is>
          <t>Upper B</t>
        </is>
      </c>
      <c r="G28" s="70" t="inlineStr">
        <is>
          <t>Friday</t>
        </is>
      </c>
      <c r="H28" s="70" t="n">
        <v>4</v>
      </c>
      <c r="I28" s="70" t="str"/>
      <c r="J28" s="70" t="inlineStr">
        <is>
          <t>ul4-upper-b-8</t>
        </is>
      </c>
      <c r="K28" s="70" t="inlineStr">
        <is>
          <t>EX043</t>
        </is>
      </c>
      <c r="L28" s="70" t="inlineStr">
        <is>
          <t>Dumbbell hammer curl</t>
        </is>
      </c>
      <c r="M28" s="70" t="n">
        <v>8</v>
      </c>
      <c r="N28" s="70" t="n">
        <v>2</v>
      </c>
      <c r="O28" s="70" t="inlineStr">
        <is>
          <t>10-15</t>
        </is>
      </c>
      <c r="P28" s="70" t="inlineStr">
        <is>
          <t>1</t>
        </is>
      </c>
      <c r="Q28" s="70" t="n">
        <v>90</v>
      </c>
      <c r="R28" s="70" t="str"/>
      <c r="S28" s="70" t="b">
        <v>1</v>
      </c>
      <c r="T28" s="168" t="n">
        <v>46222.41666666666</v>
      </c>
    </row>
    <row r="29">
      <c r="A29" s="67" t="inlineStr">
        <is>
          <t>RFL2</t>
        </is>
      </c>
      <c r="B29" s="70" t="inlineStr">
        <is>
          <t>RFL 2-day Full Body</t>
        </is>
      </c>
      <c r="C29" s="70" t="inlineStr">
        <is>
          <t>RFL / PSMF</t>
        </is>
      </c>
      <c r="D29" s="70" t="inlineStr">
        <is>
          <t>Two-day low-volume full-body plan for RFL blocks; preserve strength rather than chase fatigue.</t>
        </is>
      </c>
      <c r="E29" s="70" t="inlineStr">
        <is>
          <t>rfl-full-body-a</t>
        </is>
      </c>
      <c r="F29" s="70" t="inlineStr">
        <is>
          <t>RFL Full Body A</t>
        </is>
      </c>
      <c r="G29" s="70" t="inlineStr">
        <is>
          <t>Monday</t>
        </is>
      </c>
      <c r="H29" s="70" t="n">
        <v>1</v>
      </c>
      <c r="I29" s="70" t="str"/>
      <c r="J29" s="70" t="inlineStr">
        <is>
          <t>rfl2-rfl-full-body-a-1</t>
        </is>
      </c>
      <c r="K29" s="70" t="inlineStr">
        <is>
          <t>EX001</t>
        </is>
      </c>
      <c r="L29" s="70" t="inlineStr">
        <is>
          <t>High-bar back squat</t>
        </is>
      </c>
      <c r="M29" s="70" t="n">
        <v>1</v>
      </c>
      <c r="N29" s="70" t="n">
        <v>2</v>
      </c>
      <c r="O29" s="70" t="inlineStr">
        <is>
          <t>5-8</t>
        </is>
      </c>
      <c r="P29" s="70" t="inlineStr">
        <is>
          <t>2-3</t>
        </is>
      </c>
      <c r="Q29" s="70" t="n">
        <v>90</v>
      </c>
      <c r="R29" s="70" t="inlineStr">
        <is>
          <t>Preserve strength; no grinders.</t>
        </is>
      </c>
      <c r="S29" s="70" t="b">
        <v>1</v>
      </c>
      <c r="T29" s="168" t="n">
        <v>46222.41666666666</v>
      </c>
    </row>
    <row r="30">
      <c r="A30" s="67" t="inlineStr">
        <is>
          <t>RFL2</t>
        </is>
      </c>
      <c r="B30" s="70" t="inlineStr">
        <is>
          <t>RFL 2-day Full Body</t>
        </is>
      </c>
      <c r="C30" s="70" t="inlineStr">
        <is>
          <t>RFL / PSMF</t>
        </is>
      </c>
      <c r="D30" s="70" t="inlineStr">
        <is>
          <t>Two-day low-volume full-body plan for RFL blocks; preserve strength rather than chase fatigue.</t>
        </is>
      </c>
      <c r="E30" s="70" t="inlineStr">
        <is>
          <t>rfl-full-body-a</t>
        </is>
      </c>
      <c r="F30" s="70" t="inlineStr">
        <is>
          <t>RFL Full Body A</t>
        </is>
      </c>
      <c r="G30" s="70" t="inlineStr">
        <is>
          <t>Monday</t>
        </is>
      </c>
      <c r="H30" s="70" t="n">
        <v>1</v>
      </c>
      <c r="I30" s="70" t="str"/>
      <c r="J30" s="70" t="inlineStr">
        <is>
          <t>rfl2-rfl-full-body-a-2</t>
        </is>
      </c>
      <c r="K30" s="70" t="inlineStr">
        <is>
          <t>EX014</t>
        </is>
      </c>
      <c r="L30" s="70" t="inlineStr">
        <is>
          <t>Barbell bench press</t>
        </is>
      </c>
      <c r="M30" s="70" t="n">
        <v>2</v>
      </c>
      <c r="N30" s="70" t="n">
        <v>2</v>
      </c>
      <c r="O30" s="70" t="inlineStr">
        <is>
          <t>5-8</t>
        </is>
      </c>
      <c r="P30" s="70" t="inlineStr">
        <is>
          <t>2-3</t>
        </is>
      </c>
      <c r="Q30" s="70" t="n">
        <v>90</v>
      </c>
      <c r="R30" s="70" t="str"/>
      <c r="S30" s="70" t="b">
        <v>1</v>
      </c>
      <c r="T30" s="168" t="n">
        <v>46222.41666666666</v>
      </c>
    </row>
    <row r="31">
      <c r="A31" s="67" t="inlineStr">
        <is>
          <t>RFL2</t>
        </is>
      </c>
      <c r="B31" s="70" t="inlineStr">
        <is>
          <t>RFL 2-day Full Body</t>
        </is>
      </c>
      <c r="C31" s="70" t="inlineStr">
        <is>
          <t>RFL / PSMF</t>
        </is>
      </c>
      <c r="D31" s="70" t="inlineStr">
        <is>
          <t>Two-day low-volume full-body plan for RFL blocks; preserve strength rather than chase fatigue.</t>
        </is>
      </c>
      <c r="E31" s="70" t="inlineStr">
        <is>
          <t>rfl-full-body-a</t>
        </is>
      </c>
      <c r="F31" s="70" t="inlineStr">
        <is>
          <t>RFL Full Body A</t>
        </is>
      </c>
      <c r="G31" s="70" t="inlineStr">
        <is>
          <t>Monday</t>
        </is>
      </c>
      <c r="H31" s="70" t="n">
        <v>1</v>
      </c>
      <c r="I31" s="70" t="str"/>
      <c r="J31" s="70" t="inlineStr">
        <is>
          <t>rfl2-rfl-full-body-a-3</t>
        </is>
      </c>
      <c r="K31" s="70" t="inlineStr">
        <is>
          <t>EX023</t>
        </is>
      </c>
      <c r="L31" s="70" t="inlineStr">
        <is>
          <t>Chest-supported dumbbell row</t>
        </is>
      </c>
      <c r="M31" s="70" t="n">
        <v>3</v>
      </c>
      <c r="N31" s="70" t="n">
        <v>2</v>
      </c>
      <c r="O31" s="70" t="inlineStr">
        <is>
          <t>6-10</t>
        </is>
      </c>
      <c r="P31" s="70" t="inlineStr">
        <is>
          <t>2-3</t>
        </is>
      </c>
      <c r="Q31" s="70" t="n">
        <v>90</v>
      </c>
      <c r="R31" s="70" t="str"/>
      <c r="S31" s="70" t="b">
        <v>1</v>
      </c>
      <c r="T31" s="168" t="n">
        <v>46222.41666666666</v>
      </c>
    </row>
    <row r="32">
      <c r="A32" s="67" t="inlineStr">
        <is>
          <t>RFL2</t>
        </is>
      </c>
      <c r="B32" s="70" t="inlineStr">
        <is>
          <t>RFL 2-day Full Body</t>
        </is>
      </c>
      <c r="C32" s="70" t="inlineStr">
        <is>
          <t>RFL / PSMF</t>
        </is>
      </c>
      <c r="D32" s="70" t="inlineStr">
        <is>
          <t>Two-day low-volume full-body plan for RFL blocks; preserve strength rather than chase fatigue.</t>
        </is>
      </c>
      <c r="E32" s="70" t="inlineStr">
        <is>
          <t>rfl-full-body-a</t>
        </is>
      </c>
      <c r="F32" s="70" t="inlineStr">
        <is>
          <t>RFL Full Body A</t>
        </is>
      </c>
      <c r="G32" s="70" t="inlineStr">
        <is>
          <t>Monday</t>
        </is>
      </c>
      <c r="H32" s="70" t="n">
        <v>1</v>
      </c>
      <c r="I32" s="70" t="str"/>
      <c r="J32" s="70" t="inlineStr">
        <is>
          <t>rfl2-rfl-full-body-a-4</t>
        </is>
      </c>
      <c r="K32" s="70" t="inlineStr">
        <is>
          <t>EX132</t>
        </is>
      </c>
      <c r="L32" s="70" t="inlineStr">
        <is>
          <t>Romanian deadlift or hip thrust</t>
        </is>
      </c>
      <c r="M32" s="70" t="n">
        <v>4</v>
      </c>
      <c r="N32" s="70" t="n">
        <v>2</v>
      </c>
      <c r="O32" s="70" t="inlineStr">
        <is>
          <t>6-10</t>
        </is>
      </c>
      <c r="P32" s="70" t="inlineStr">
        <is>
          <t>2-3</t>
        </is>
      </c>
      <c r="Q32" s="70" t="n">
        <v>90</v>
      </c>
      <c r="R32" s="70" t="str"/>
      <c r="S32" s="70" t="b">
        <v>1</v>
      </c>
      <c r="T32" s="168" t="n">
        <v>46222.65625</v>
      </c>
    </row>
    <row r="33">
      <c r="A33" s="67" t="inlineStr">
        <is>
          <t>RFL2</t>
        </is>
      </c>
      <c r="B33" s="70" t="inlineStr">
        <is>
          <t>RFL 2-day Full Body</t>
        </is>
      </c>
      <c r="C33" s="70" t="inlineStr">
        <is>
          <t>RFL / PSMF</t>
        </is>
      </c>
      <c r="D33" s="70" t="inlineStr">
        <is>
          <t>Two-day low-volume full-body plan for RFL blocks; preserve strength rather than chase fatigue.</t>
        </is>
      </c>
      <c r="E33" s="70" t="inlineStr">
        <is>
          <t>rfl-full-body-a</t>
        </is>
      </c>
      <c r="F33" s="70" t="inlineStr">
        <is>
          <t>RFL Full Body A</t>
        </is>
      </c>
      <c r="G33" s="70" t="inlineStr">
        <is>
          <t>Monday</t>
        </is>
      </c>
      <c r="H33" s="70" t="n">
        <v>1</v>
      </c>
      <c r="I33" s="70" t="str"/>
      <c r="J33" s="70" t="inlineStr">
        <is>
          <t>rfl2-rfl-full-body-a-5</t>
        </is>
      </c>
      <c r="K33" s="70" t="inlineStr">
        <is>
          <t>EX033</t>
        </is>
      </c>
      <c r="L33" s="70" t="inlineStr">
        <is>
          <t>Cable lateral raise</t>
        </is>
      </c>
      <c r="M33" s="70" t="n">
        <v>5</v>
      </c>
      <c r="N33" s="70" t="n">
        <v>1</v>
      </c>
      <c r="O33" s="70" t="inlineStr">
        <is>
          <t>12-20</t>
        </is>
      </c>
      <c r="P33" s="70" t="inlineStr">
        <is>
          <t>2-3</t>
        </is>
      </c>
      <c r="Q33" s="70" t="n">
        <v>90</v>
      </c>
      <c r="R33" s="70" t="str"/>
      <c r="S33" s="70" t="b">
        <v>1</v>
      </c>
      <c r="T33" s="168" t="n">
        <v>46222.41666666666</v>
      </c>
    </row>
    <row r="34">
      <c r="A34" s="67" t="inlineStr">
        <is>
          <t>RFL2</t>
        </is>
      </c>
      <c r="B34" s="70" t="inlineStr">
        <is>
          <t>RFL 2-day Full Body</t>
        </is>
      </c>
      <c r="C34" s="70" t="inlineStr">
        <is>
          <t>RFL / PSMF</t>
        </is>
      </c>
      <c r="D34" s="70" t="inlineStr">
        <is>
          <t>Two-day low-volume full-body plan for RFL blocks; preserve strength rather than chase fatigue.</t>
        </is>
      </c>
      <c r="E34" s="70" t="inlineStr">
        <is>
          <t>rfl-full-body-a</t>
        </is>
      </c>
      <c r="F34" s="70" t="inlineStr">
        <is>
          <t>RFL Full Body A</t>
        </is>
      </c>
      <c r="G34" s="70" t="inlineStr">
        <is>
          <t>Monday</t>
        </is>
      </c>
      <c r="H34" s="70" t="n">
        <v>1</v>
      </c>
      <c r="I34" s="70" t="str"/>
      <c r="J34" s="70" t="inlineStr">
        <is>
          <t>rfl2-rfl-full-body-a-6</t>
        </is>
      </c>
      <c r="K34" s="70" t="inlineStr">
        <is>
          <t>EX041</t>
        </is>
      </c>
      <c r="L34" s="70" t="inlineStr">
        <is>
          <t>Cable curl</t>
        </is>
      </c>
      <c r="M34" s="70" t="n">
        <v>6</v>
      </c>
      <c r="N34" s="70" t="n">
        <v>1</v>
      </c>
      <c r="O34" s="70" t="inlineStr">
        <is>
          <t>10-15</t>
        </is>
      </c>
      <c r="P34" s="70" t="inlineStr">
        <is>
          <t>2-3</t>
        </is>
      </c>
      <c r="Q34" s="70" t="n">
        <v>90</v>
      </c>
      <c r="R34" s="70" t="str"/>
      <c r="S34" s="70" t="b">
        <v>1</v>
      </c>
      <c r="T34" s="168" t="n">
        <v>46222.41666666666</v>
      </c>
    </row>
    <row r="35">
      <c r="A35" s="67" t="inlineStr">
        <is>
          <t>RFL2</t>
        </is>
      </c>
      <c r="B35" s="70" t="inlineStr">
        <is>
          <t>RFL 2-day Full Body</t>
        </is>
      </c>
      <c r="C35" s="70" t="inlineStr">
        <is>
          <t>RFL / PSMF</t>
        </is>
      </c>
      <c r="D35" s="70" t="inlineStr">
        <is>
          <t>Two-day low-volume full-body plan for RFL blocks; preserve strength rather than chase fatigue.</t>
        </is>
      </c>
      <c r="E35" s="70" t="inlineStr">
        <is>
          <t>rfl-full-body-a</t>
        </is>
      </c>
      <c r="F35" s="70" t="inlineStr">
        <is>
          <t>RFL Full Body A</t>
        </is>
      </c>
      <c r="G35" s="70" t="inlineStr">
        <is>
          <t>Monday</t>
        </is>
      </c>
      <c r="H35" s="70" t="n">
        <v>1</v>
      </c>
      <c r="I35" s="70" t="str"/>
      <c r="J35" s="70" t="inlineStr">
        <is>
          <t>rfl2-rfl-full-body-a-7</t>
        </is>
      </c>
      <c r="K35" s="70" t="inlineStr">
        <is>
          <t>EX038</t>
        </is>
      </c>
      <c r="L35" s="70" t="inlineStr">
        <is>
          <t>Cable triceps pushdown</t>
        </is>
      </c>
      <c r="M35" s="70" t="n">
        <v>7</v>
      </c>
      <c r="N35" s="70" t="n">
        <v>1</v>
      </c>
      <c r="O35" s="70" t="inlineStr">
        <is>
          <t>10-15</t>
        </is>
      </c>
      <c r="P35" s="70" t="inlineStr">
        <is>
          <t>2-3</t>
        </is>
      </c>
      <c r="Q35" s="70" t="n">
        <v>90</v>
      </c>
      <c r="R35" s="70" t="str"/>
      <c r="S35" s="70" t="b">
        <v>1</v>
      </c>
      <c r="T35" s="168" t="n">
        <v>46222.41666666666</v>
      </c>
    </row>
    <row r="36">
      <c r="A36" s="67" t="inlineStr">
        <is>
          <t>RFL2</t>
        </is>
      </c>
      <c r="B36" s="70" t="inlineStr">
        <is>
          <t>RFL 2-day Full Body</t>
        </is>
      </c>
      <c r="C36" s="70" t="inlineStr">
        <is>
          <t>RFL / PSMF</t>
        </is>
      </c>
      <c r="D36" s="70" t="inlineStr">
        <is>
          <t>Two-day low-volume full-body plan for RFL blocks; preserve strength rather than chase fatigue.</t>
        </is>
      </c>
      <c r="E36" s="70" t="inlineStr">
        <is>
          <t>rfl-full-body-b</t>
        </is>
      </c>
      <c r="F36" s="70" t="inlineStr">
        <is>
          <t>RFL Full Body B</t>
        </is>
      </c>
      <c r="G36" s="70" t="inlineStr">
        <is>
          <t>Thursday</t>
        </is>
      </c>
      <c r="H36" s="70" t="n">
        <v>2</v>
      </c>
      <c r="I36" s="70" t="str"/>
      <c r="J36" s="70" t="inlineStr">
        <is>
          <t>rfl2-rfl-full-body-b-1</t>
        </is>
      </c>
      <c r="K36" s="70" t="inlineStr">
        <is>
          <t>EX133</t>
        </is>
      </c>
      <c r="L36" s="70" t="inlineStr">
        <is>
          <t>Front squat or Bulgarian split squat</t>
        </is>
      </c>
      <c r="M36" s="70" t="n">
        <v>1</v>
      </c>
      <c r="N36" s="70" t="n">
        <v>2</v>
      </c>
      <c r="O36" s="70" t="inlineStr">
        <is>
          <t>6-10</t>
        </is>
      </c>
      <c r="P36" s="70" t="inlineStr">
        <is>
          <t>2-3</t>
        </is>
      </c>
      <c r="Q36" s="70" t="n">
        <v>90</v>
      </c>
      <c r="R36" s="70" t="str"/>
      <c r="S36" s="70" t="b">
        <v>1</v>
      </c>
      <c r="T36" s="168" t="n">
        <v>46222.65625</v>
      </c>
    </row>
    <row r="37">
      <c r="A37" s="67" t="inlineStr">
        <is>
          <t>RFL2</t>
        </is>
      </c>
      <c r="B37" s="70" t="inlineStr">
        <is>
          <t>RFL 2-day Full Body</t>
        </is>
      </c>
      <c r="C37" s="70" t="inlineStr">
        <is>
          <t>RFL / PSMF</t>
        </is>
      </c>
      <c r="D37" s="70" t="inlineStr">
        <is>
          <t>Two-day low-volume full-body plan for RFL blocks; preserve strength rather than chase fatigue.</t>
        </is>
      </c>
      <c r="E37" s="70" t="inlineStr">
        <is>
          <t>rfl-full-body-b</t>
        </is>
      </c>
      <c r="F37" s="70" t="inlineStr">
        <is>
          <t>RFL Full Body B</t>
        </is>
      </c>
      <c r="G37" s="70" t="inlineStr">
        <is>
          <t>Thursday</t>
        </is>
      </c>
      <c r="H37" s="70" t="n">
        <v>2</v>
      </c>
      <c r="I37" s="70" t="str"/>
      <c r="J37" s="70" t="inlineStr">
        <is>
          <t>rfl2-rfl-full-body-b-2</t>
        </is>
      </c>
      <c r="K37" s="70" t="inlineStr">
        <is>
          <t>EX022</t>
        </is>
      </c>
      <c r="L37" s="70" t="inlineStr">
        <is>
          <t>Incline dumbbell or seated dumbbell press</t>
        </is>
      </c>
      <c r="M37" s="70" t="n">
        <v>2</v>
      </c>
      <c r="N37" s="70" t="n">
        <v>2</v>
      </c>
      <c r="O37" s="70" t="inlineStr">
        <is>
          <t>6-10</t>
        </is>
      </c>
      <c r="P37" s="70" t="inlineStr">
        <is>
          <t>2-3</t>
        </is>
      </c>
      <c r="Q37" s="70" t="n">
        <v>90</v>
      </c>
      <c r="R37" s="70" t="str"/>
      <c r="S37" s="70" t="b">
        <v>1</v>
      </c>
      <c r="T37" s="168" t="n">
        <v>46222.41666666666</v>
      </c>
    </row>
    <row r="38">
      <c r="A38" s="67" t="inlineStr">
        <is>
          <t>RFL2</t>
        </is>
      </c>
      <c r="B38" s="70" t="inlineStr">
        <is>
          <t>RFL 2-day Full Body</t>
        </is>
      </c>
      <c r="C38" s="70" t="inlineStr">
        <is>
          <t>RFL / PSMF</t>
        </is>
      </c>
      <c r="D38" s="70" t="inlineStr">
        <is>
          <t>Two-day low-volume full-body plan for RFL blocks; preserve strength rather than chase fatigue.</t>
        </is>
      </c>
      <c r="E38" s="70" t="inlineStr">
        <is>
          <t>rfl-full-body-b</t>
        </is>
      </c>
      <c r="F38" s="70" t="inlineStr">
        <is>
          <t>RFL Full Body B</t>
        </is>
      </c>
      <c r="G38" s="70" t="inlineStr">
        <is>
          <t>Thursday</t>
        </is>
      </c>
      <c r="H38" s="70" t="n">
        <v>2</v>
      </c>
      <c r="I38" s="70" t="str"/>
      <c r="J38" s="70" t="inlineStr">
        <is>
          <t>rfl2-rfl-full-body-b-3</t>
        </is>
      </c>
      <c r="K38" s="70" t="inlineStr">
        <is>
          <t>EX134</t>
        </is>
      </c>
      <c r="L38" s="70" t="inlineStr">
        <is>
          <t>Pulldown or chin-up</t>
        </is>
      </c>
      <c r="M38" s="70" t="n">
        <v>3</v>
      </c>
      <c r="N38" s="70" t="n">
        <v>2</v>
      </c>
      <c r="O38" s="70" t="inlineStr">
        <is>
          <t>6-10</t>
        </is>
      </c>
      <c r="P38" s="70" t="inlineStr">
        <is>
          <t>2-3</t>
        </is>
      </c>
      <c r="Q38" s="70" t="n">
        <v>90</v>
      </c>
      <c r="R38" s="70" t="str"/>
      <c r="S38" s="70" t="b">
        <v>1</v>
      </c>
      <c r="T38" s="168" t="n">
        <v>46222.65625</v>
      </c>
    </row>
    <row r="39">
      <c r="A39" s="67" t="inlineStr">
        <is>
          <t>RFL2</t>
        </is>
      </c>
      <c r="B39" s="70" t="inlineStr">
        <is>
          <t>RFL 2-day Full Body</t>
        </is>
      </c>
      <c r="C39" s="70" t="inlineStr">
        <is>
          <t>RFL / PSMF</t>
        </is>
      </c>
      <c r="D39" s="70" t="inlineStr">
        <is>
          <t>Two-day low-volume full-body plan for RFL blocks; preserve strength rather than chase fatigue.</t>
        </is>
      </c>
      <c r="E39" s="70" t="inlineStr">
        <is>
          <t>rfl-full-body-b</t>
        </is>
      </c>
      <c r="F39" s="70" t="inlineStr">
        <is>
          <t>RFL Full Body B</t>
        </is>
      </c>
      <c r="G39" s="70" t="inlineStr">
        <is>
          <t>Thursday</t>
        </is>
      </c>
      <c r="H39" s="70" t="n">
        <v>2</v>
      </c>
      <c r="I39" s="70" t="str"/>
      <c r="J39" s="70" t="inlineStr">
        <is>
          <t>rfl2-rfl-full-body-b-4</t>
        </is>
      </c>
      <c r="K39" s="70" t="inlineStr">
        <is>
          <t>EX135</t>
        </is>
      </c>
      <c r="L39" s="70" t="inlineStr">
        <is>
          <t>Hip thrust or cable leg curl</t>
        </is>
      </c>
      <c r="M39" s="70" t="n">
        <v>4</v>
      </c>
      <c r="N39" s="70" t="n">
        <v>2</v>
      </c>
      <c r="O39" s="70" t="inlineStr">
        <is>
          <t>8-12</t>
        </is>
      </c>
      <c r="P39" s="70" t="inlineStr">
        <is>
          <t>2-3</t>
        </is>
      </c>
      <c r="Q39" s="70" t="n">
        <v>90</v>
      </c>
      <c r="R39" s="70" t="str"/>
      <c r="S39" s="70" t="b">
        <v>1</v>
      </c>
      <c r="T39" s="168" t="n">
        <v>46222.65625</v>
      </c>
    </row>
    <row r="40">
      <c r="A40" s="67" t="inlineStr">
        <is>
          <t>RFL2</t>
        </is>
      </c>
      <c r="B40" s="70" t="inlineStr">
        <is>
          <t>RFL 2-day Full Body</t>
        </is>
      </c>
      <c r="C40" s="70" t="inlineStr">
        <is>
          <t>RFL / PSMF</t>
        </is>
      </c>
      <c r="D40" s="70" t="inlineStr">
        <is>
          <t>Two-day low-volume full-body plan for RFL blocks; preserve strength rather than chase fatigue.</t>
        </is>
      </c>
      <c r="E40" s="70" t="inlineStr">
        <is>
          <t>rfl-full-body-b</t>
        </is>
      </c>
      <c r="F40" s="70" t="inlineStr">
        <is>
          <t>RFL Full Body B</t>
        </is>
      </c>
      <c r="G40" s="70" t="inlineStr">
        <is>
          <t>Thursday</t>
        </is>
      </c>
      <c r="H40" s="70" t="n">
        <v>2</v>
      </c>
      <c r="I40" s="70" t="str"/>
      <c r="J40" s="70" t="inlineStr">
        <is>
          <t>rfl2-rfl-full-body-b-5</t>
        </is>
      </c>
      <c r="K40" s="70" t="inlineStr">
        <is>
          <t>EX037</t>
        </is>
      </c>
      <c r="L40" s="70" t="inlineStr">
        <is>
          <t>Rear-delt cable fly</t>
        </is>
      </c>
      <c r="M40" s="70" t="n">
        <v>5</v>
      </c>
      <c r="N40" s="70" t="n">
        <v>1</v>
      </c>
      <c r="O40" s="70" t="inlineStr">
        <is>
          <t>12-20</t>
        </is>
      </c>
      <c r="P40" s="70" t="inlineStr">
        <is>
          <t>2-3</t>
        </is>
      </c>
      <c r="Q40" s="70" t="n">
        <v>90</v>
      </c>
      <c r="R40" s="70" t="str"/>
      <c r="S40" s="70" t="b">
        <v>1</v>
      </c>
      <c r="T40" s="168" t="n">
        <v>46222.41666666666</v>
      </c>
    </row>
    <row r="41">
      <c r="A41" s="67" t="inlineStr">
        <is>
          <t>RFL2</t>
        </is>
      </c>
      <c r="B41" s="70" t="inlineStr">
        <is>
          <t>RFL 2-day Full Body</t>
        </is>
      </c>
      <c r="C41" s="70" t="inlineStr">
        <is>
          <t>RFL / PSMF</t>
        </is>
      </c>
      <c r="D41" s="70" t="inlineStr">
        <is>
          <t>Two-day low-volume full-body plan for RFL blocks; preserve strength rather than chase fatigue.</t>
        </is>
      </c>
      <c r="E41" s="70" t="inlineStr">
        <is>
          <t>rfl-full-body-b</t>
        </is>
      </c>
      <c r="F41" s="70" t="inlineStr">
        <is>
          <t>RFL Full Body B</t>
        </is>
      </c>
      <c r="G41" s="70" t="inlineStr">
        <is>
          <t>Thursday</t>
        </is>
      </c>
      <c r="H41" s="70" t="n">
        <v>2</v>
      </c>
      <c r="I41" s="70" t="str"/>
      <c r="J41" s="70" t="inlineStr">
        <is>
          <t>rfl2-rfl-full-body-b-6</t>
        </is>
      </c>
      <c r="K41" s="70" t="inlineStr">
        <is>
          <t>EX136</t>
        </is>
      </c>
      <c r="L41" s="70" t="inlineStr">
        <is>
          <t>Hammer curl</t>
        </is>
      </c>
      <c r="M41" s="70" t="n">
        <v>6</v>
      </c>
      <c r="N41" s="70" t="n">
        <v>1</v>
      </c>
      <c r="O41" s="70" t="inlineStr">
        <is>
          <t>10-15</t>
        </is>
      </c>
      <c r="P41" s="70" t="inlineStr">
        <is>
          <t>2-3</t>
        </is>
      </c>
      <c r="Q41" s="70" t="n">
        <v>90</v>
      </c>
      <c r="R41" s="70" t="str"/>
      <c r="S41" s="70" t="b">
        <v>1</v>
      </c>
      <c r="T41" s="168" t="n">
        <v>46222.65625</v>
      </c>
    </row>
    <row r="42">
      <c r="A42" s="67" t="inlineStr">
        <is>
          <t>RFL2</t>
        </is>
      </c>
      <c r="B42" s="70" t="inlineStr">
        <is>
          <t>RFL 2-day Full Body</t>
        </is>
      </c>
      <c r="C42" s="70" t="inlineStr">
        <is>
          <t>RFL / PSMF</t>
        </is>
      </c>
      <c r="D42" s="70" t="inlineStr">
        <is>
          <t>Two-day low-volume full-body plan for RFL blocks; preserve strength rather than chase fatigue.</t>
        </is>
      </c>
      <c r="E42" s="70" t="inlineStr">
        <is>
          <t>rfl-full-body-b</t>
        </is>
      </c>
      <c r="F42" s="70" t="inlineStr">
        <is>
          <t>RFL Full Body B</t>
        </is>
      </c>
      <c r="G42" s="70" t="inlineStr">
        <is>
          <t>Thursday</t>
        </is>
      </c>
      <c r="H42" s="70" t="n">
        <v>2</v>
      </c>
      <c r="I42" s="70" t="str"/>
      <c r="J42" s="70" t="inlineStr">
        <is>
          <t>rfl2-rfl-full-body-b-7</t>
        </is>
      </c>
      <c r="K42" s="70" t="inlineStr">
        <is>
          <t>EX137</t>
        </is>
      </c>
      <c r="L42" s="70" t="inlineStr">
        <is>
          <t>Overhead triceps extension</t>
        </is>
      </c>
      <c r="M42" s="70" t="n">
        <v>7</v>
      </c>
      <c r="N42" s="70" t="n">
        <v>1</v>
      </c>
      <c r="O42" s="70" t="inlineStr">
        <is>
          <t>10-15</t>
        </is>
      </c>
      <c r="P42" s="70" t="inlineStr">
        <is>
          <t>2-3</t>
        </is>
      </c>
      <c r="Q42" s="70" t="n">
        <v>90</v>
      </c>
      <c r="R42" s="70" t="str"/>
      <c r="S42" s="70" t="b">
        <v>1</v>
      </c>
      <c r="T42" s="168" t="n">
        <v>46222.65625</v>
      </c>
    </row>
    <row r="43">
      <c r="A43" s="67" t="inlineStr">
        <is>
          <t>GVS_EXTRA</t>
        </is>
      </c>
      <c r="B43" s="70" t="inlineStr">
        <is>
          <t>Optional GVS-style Delts/Arms</t>
        </is>
      </c>
      <c r="C43" s="70" t="inlineStr">
        <is>
          <t>Optional only outside RFL</t>
        </is>
      </c>
      <c r="D43" s="70" t="inlineStr">
        <is>
          <t>Optional short delt/arm/calves session only when recovered and outside RFL.</t>
        </is>
      </c>
      <c r="E43" s="70" t="inlineStr">
        <is>
          <t>delts-arms</t>
        </is>
      </c>
      <c r="F43" s="70" t="inlineStr">
        <is>
          <t>Delts/Arms</t>
        </is>
      </c>
      <c r="G43" s="70" t="inlineStr">
        <is>
          <t>Saturday</t>
        </is>
      </c>
      <c r="H43" s="70" t="n">
        <v>1</v>
      </c>
      <c r="I43" s="70" t="str"/>
      <c r="J43" s="70" t="inlineStr">
        <is>
          <t>gvs_extra-delts-arms-1</t>
        </is>
      </c>
      <c r="K43" s="70" t="inlineStr">
        <is>
          <t>EX033</t>
        </is>
      </c>
      <c r="L43" s="70" t="inlineStr">
        <is>
          <t>Cable lateral raise</t>
        </is>
      </c>
      <c r="M43" s="70" t="n">
        <v>1</v>
      </c>
      <c r="N43" s="70" t="n">
        <v>3</v>
      </c>
      <c r="O43" s="70" t="inlineStr">
        <is>
          <t>15-25</t>
        </is>
      </c>
      <c r="P43" s="70" t="inlineStr">
        <is>
          <t>0-1 on final safe set</t>
        </is>
      </c>
      <c r="Q43" s="70" t="n">
        <v>90</v>
      </c>
      <c r="R43" s="70" t="inlineStr">
        <is>
          <t>Only if recovered; skip during RFL.</t>
        </is>
      </c>
      <c r="S43" s="70" t="b">
        <v>1</v>
      </c>
      <c r="T43" s="168" t="n">
        <v>46222.41666666666</v>
      </c>
    </row>
    <row r="44">
      <c r="A44" s="67" t="inlineStr">
        <is>
          <t>GVS_EXTRA</t>
        </is>
      </c>
      <c r="B44" s="70" t="inlineStr">
        <is>
          <t>Optional GVS-style Delts/Arms</t>
        </is>
      </c>
      <c r="C44" s="70" t="inlineStr">
        <is>
          <t>Optional only outside RFL</t>
        </is>
      </c>
      <c r="D44" s="70" t="inlineStr">
        <is>
          <t>Optional short delt/arm/calves session only when recovered and outside RFL.</t>
        </is>
      </c>
      <c r="E44" s="70" t="inlineStr">
        <is>
          <t>delts-arms</t>
        </is>
      </c>
      <c r="F44" s="70" t="inlineStr">
        <is>
          <t>Delts/Arms</t>
        </is>
      </c>
      <c r="G44" s="70" t="inlineStr">
        <is>
          <t>Saturday</t>
        </is>
      </c>
      <c r="H44" s="70" t="n">
        <v>1</v>
      </c>
      <c r="I44" s="70" t="str"/>
      <c r="J44" s="70" t="inlineStr">
        <is>
          <t>gvs_extra-delts-arms-2</t>
        </is>
      </c>
      <c r="K44" s="70" t="inlineStr">
        <is>
          <t>EX035</t>
        </is>
      </c>
      <c r="L44" s="70" t="inlineStr">
        <is>
          <t>Cable rear-delt fly</t>
        </is>
      </c>
      <c r="M44" s="70" t="n">
        <v>2</v>
      </c>
      <c r="N44" s="70" t="n">
        <v>3</v>
      </c>
      <c r="O44" s="70" t="inlineStr">
        <is>
          <t>15-25</t>
        </is>
      </c>
      <c r="P44" s="70" t="inlineStr">
        <is>
          <t>0-1 on final safe set</t>
        </is>
      </c>
      <c r="Q44" s="70" t="n">
        <v>90</v>
      </c>
      <c r="R44" s="70" t="str"/>
      <c r="S44" s="70" t="b">
        <v>1</v>
      </c>
      <c r="T44" s="168" t="n">
        <v>46222.41666666666</v>
      </c>
    </row>
    <row r="45">
      <c r="A45" s="67" t="inlineStr">
        <is>
          <t>GVS_EXTRA</t>
        </is>
      </c>
      <c r="B45" s="70" t="inlineStr">
        <is>
          <t>Optional GVS-style Delts/Arms</t>
        </is>
      </c>
      <c r="C45" s="70" t="inlineStr">
        <is>
          <t>Optional only outside RFL</t>
        </is>
      </c>
      <c r="D45" s="70" t="inlineStr">
        <is>
          <t>Optional short delt/arm/calves session only when recovered and outside RFL.</t>
        </is>
      </c>
      <c r="E45" s="70" t="inlineStr">
        <is>
          <t>delts-arms</t>
        </is>
      </c>
      <c r="F45" s="70" t="inlineStr">
        <is>
          <t>Delts/Arms</t>
        </is>
      </c>
      <c r="G45" s="70" t="inlineStr">
        <is>
          <t>Saturday</t>
        </is>
      </c>
      <c r="H45" s="70" t="n">
        <v>1</v>
      </c>
      <c r="I45" s="70" t="str"/>
      <c r="J45" s="70" t="inlineStr">
        <is>
          <t>gvs_extra-delts-arms-3</t>
        </is>
      </c>
      <c r="K45" s="70" t="inlineStr">
        <is>
          <t>EX045</t>
        </is>
      </c>
      <c r="L45" s="70" t="inlineStr">
        <is>
          <t>Cable or ring curl</t>
        </is>
      </c>
      <c r="M45" s="70" t="n">
        <v>3</v>
      </c>
      <c r="N45" s="70" t="n">
        <v>2</v>
      </c>
      <c r="O45" s="70" t="inlineStr">
        <is>
          <t>10-15</t>
        </is>
      </c>
      <c r="P45" s="70" t="inlineStr">
        <is>
          <t>1</t>
        </is>
      </c>
      <c r="Q45" s="70" t="n">
        <v>90</v>
      </c>
      <c r="R45" s="70" t="str"/>
      <c r="S45" s="70" t="b">
        <v>1</v>
      </c>
      <c r="T45" s="168" t="n">
        <v>46222.41666666666</v>
      </c>
    </row>
    <row r="46">
      <c r="A46" s="67" t="inlineStr">
        <is>
          <t>GVS_EXTRA</t>
        </is>
      </c>
      <c r="B46" s="70" t="inlineStr">
        <is>
          <t>Optional GVS-style Delts/Arms</t>
        </is>
      </c>
      <c r="C46" s="70" t="inlineStr">
        <is>
          <t>Optional only outside RFL</t>
        </is>
      </c>
      <c r="D46" s="70" t="inlineStr">
        <is>
          <t>Optional short delt/arm/calves session only when recovered and outside RFL.</t>
        </is>
      </c>
      <c r="E46" s="70" t="inlineStr">
        <is>
          <t>delts-arms</t>
        </is>
      </c>
      <c r="F46" s="70" t="inlineStr">
        <is>
          <t>Delts/Arms</t>
        </is>
      </c>
      <c r="G46" s="70" t="inlineStr">
        <is>
          <t>Saturday</t>
        </is>
      </c>
      <c r="H46" s="70" t="n">
        <v>1</v>
      </c>
      <c r="I46" s="70" t="str"/>
      <c r="J46" s="70" t="inlineStr">
        <is>
          <t>gvs_extra-delts-arms-4</t>
        </is>
      </c>
      <c r="K46" s="70" t="inlineStr">
        <is>
          <t>EX039</t>
        </is>
      </c>
      <c r="L46" s="70" t="inlineStr">
        <is>
          <t>Overhead cable triceps extension</t>
        </is>
      </c>
      <c r="M46" s="70" t="n">
        <v>4</v>
      </c>
      <c r="N46" s="70" t="n">
        <v>2</v>
      </c>
      <c r="O46" s="70" t="inlineStr">
        <is>
          <t>10-15</t>
        </is>
      </c>
      <c r="P46" s="70" t="inlineStr">
        <is>
          <t>1</t>
        </is>
      </c>
      <c r="Q46" s="70" t="n">
        <v>90</v>
      </c>
      <c r="R46" s="70" t="str"/>
      <c r="S46" s="70" t="b">
        <v>1</v>
      </c>
      <c r="T46" s="168" t="n">
        <v>46222.41666666666</v>
      </c>
    </row>
    <row r="47">
      <c r="A47" s="77" t="inlineStr">
        <is>
          <t>GVS_EXTRA</t>
        </is>
      </c>
      <c r="B47" s="81" t="inlineStr">
        <is>
          <t>Optional GVS-style Delts/Arms</t>
        </is>
      </c>
      <c r="C47" s="81" t="inlineStr">
        <is>
          <t>Optional only outside RFL</t>
        </is>
      </c>
      <c r="D47" s="81" t="inlineStr">
        <is>
          <t>Optional short delt/arm/calves session only when recovered and outside RFL.</t>
        </is>
      </c>
      <c r="E47" s="81" t="inlineStr">
        <is>
          <t>delts-arms</t>
        </is>
      </c>
      <c r="F47" s="81" t="inlineStr">
        <is>
          <t>Delts/Arms</t>
        </is>
      </c>
      <c r="G47" s="81" t="inlineStr">
        <is>
          <t>Saturday</t>
        </is>
      </c>
      <c r="H47" s="81" t="n">
        <v>1</v>
      </c>
      <c r="I47" s="81" t="str"/>
      <c r="J47" s="81" t="inlineStr">
        <is>
          <t>gvs_extra-delts-arms-5</t>
        </is>
      </c>
      <c r="K47" s="81" t="inlineStr">
        <is>
          <t>EX013</t>
        </is>
      </c>
      <c r="L47" s="81" t="inlineStr">
        <is>
          <t>Standing calf raise</t>
        </is>
      </c>
      <c r="M47" s="81" t="n">
        <v>5</v>
      </c>
      <c r="N47" s="81" t="n">
        <v>3</v>
      </c>
      <c r="O47" s="81" t="inlineStr">
        <is>
          <t>12-20</t>
        </is>
      </c>
      <c r="P47" s="81" t="inlineStr">
        <is>
          <t>1</t>
        </is>
      </c>
      <c r="Q47" s="81" t="n">
        <v>90</v>
      </c>
      <c r="R47" s="81" t="str"/>
      <c r="S47" s="81" t="b">
        <v>1</v>
      </c>
      <c r="T47" s="169" t="n">
        <v>46222.41666666666</v>
      </c>
    </row>
  </sheetData>
  <dataValidations count="1">
    <dataValidation sqref="S2:S1000" showDropDown="0" showInputMessage="0" showErrorMessage="0" allowBlank="0" type="list">
      <formula1>"TRUE,FALSE"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8"/>
  <sheetViews>
    <sheetView workbookViewId="0">
      <selection activeCell="A1" sqref="A1"/>
    </sheetView>
  </sheetViews>
  <sheetFormatPr baseColWidth="8" defaultRowHeight="15"/>
  <cols>
    <col width="12" customWidth="1" style="91" min="1" max="1"/>
    <col width="30" customWidth="1" style="91" min="2" max="2"/>
    <col width="24" customWidth="1" style="91" min="3" max="3"/>
    <col width="22" customWidth="1" style="91" min="4" max="4"/>
    <col width="44" customWidth="1" style="91" min="5" max="5"/>
    <col width="58" customWidth="1" style="91" min="6" max="6"/>
    <col width="36" customWidth="1" style="91" min="7" max="7"/>
    <col width="20" customWidth="1" style="91" min="8" max="8"/>
    <col width="15" customWidth="1" style="91" min="9" max="9"/>
    <col width="50" customWidth="1" style="91" min="10" max="10"/>
    <col width="10" customWidth="1" style="91" min="11" max="11"/>
    <col width="10" customWidth="1" style="91" min="12" max="12"/>
    <col width="20" customWidth="1" style="91" min="13" max="13"/>
    <col width="24" customWidth="1" style="91" min="17" max="17"/>
    <col width="24" customWidth="1" style="91" min="18" max="18"/>
  </cols>
  <sheetData>
    <row r="1" ht="30" customHeight="1" s="91">
      <c r="A1" s="63" t="inlineStr">
        <is>
          <t>ExerciseID</t>
        </is>
      </c>
      <c r="B1" s="63" t="inlineStr">
        <is>
          <t>Exercise</t>
        </is>
      </c>
      <c r="C1" s="63" t="inlineStr">
        <is>
          <t>MuscleGroup</t>
        </is>
      </c>
      <c r="D1" s="63" t="inlineStr">
        <is>
          <t>Pattern</t>
        </is>
      </c>
      <c r="E1" s="63" t="inlineStr">
        <is>
          <t>Equipment</t>
        </is>
      </c>
      <c r="F1" s="63" t="inlineStr">
        <is>
          <t>EquipmentOptionsJSON</t>
        </is>
      </c>
      <c r="G1" s="63" t="inlineStr">
        <is>
          <t>OptionalEquipmentJSON</t>
        </is>
      </c>
      <c r="H1" s="63" t="inlineStr">
        <is>
          <t>PrimaryFor</t>
        </is>
      </c>
      <c r="I1" s="63" t="inlineStr">
        <is>
          <t>Difficulty</t>
        </is>
      </c>
      <c r="J1" s="63" t="inlineStr">
        <is>
          <t>SubstitutionNotes</t>
        </is>
      </c>
      <c r="K1" s="63" t="inlineStr">
        <is>
          <t>RFL_OK</t>
        </is>
      </c>
      <c r="L1" s="63" t="inlineStr">
        <is>
          <t>Favourite</t>
        </is>
      </c>
      <c r="M1" s="63" t="inlineStr">
        <is>
          <t>UpdatedAt</t>
        </is>
      </c>
    </row>
    <row r="2">
      <c r="A2" s="64" t="inlineStr">
        <is>
          <t>EX001</t>
        </is>
      </c>
      <c r="B2" s="80" t="inlineStr">
        <is>
          <t>High-bar back squat</t>
        </is>
      </c>
      <c r="C2" s="80" t="inlineStr">
        <is>
          <t>Quads / Glutes</t>
        </is>
      </c>
      <c r="D2" s="80" t="inlineStr">
        <is>
          <t>Squat</t>
        </is>
      </c>
      <c r="E2" s="80" t="inlineStr">
        <is>
          <t>Power rack / squat stands + Barbell + plates</t>
        </is>
      </c>
      <c r="F2" s="80" t="inlineStr">
        <is>
          <t>[["Power rack / squat stands","Barbell + plates"]]</t>
        </is>
      </c>
      <c r="G2" s="80" t="inlineStr">
        <is>
          <t>[]</t>
        </is>
      </c>
      <c r="H2" s="80" t="inlineStr">
        <is>
          <t>Squat</t>
        </is>
      </c>
      <c r="I2" s="80" t="inlineStr">
        <is>
          <t>Main lift</t>
        </is>
      </c>
      <c r="J2" s="80" t="inlineStr">
        <is>
          <t>Use if bracing and depth remain controlled.</t>
        </is>
      </c>
      <c r="K2" s="80" t="inlineStr">
        <is>
          <t>Yes</t>
        </is>
      </c>
      <c r="L2" s="80" t="b">
        <v>0</v>
      </c>
      <c r="M2" s="167" t="n">
        <v>46222.41666666666</v>
      </c>
    </row>
    <row r="3">
      <c r="A3" s="67" t="inlineStr">
        <is>
          <t>EX002</t>
        </is>
      </c>
      <c r="B3" s="70" t="inlineStr">
        <is>
          <t>Front squat</t>
        </is>
      </c>
      <c r="C3" s="70" t="inlineStr">
        <is>
          <t>Quads / Core</t>
        </is>
      </c>
      <c r="D3" s="70" t="inlineStr">
        <is>
          <t>Squat</t>
        </is>
      </c>
      <c r="E3" s="70" t="inlineStr">
        <is>
          <t>Power rack / squat stands + Barbell + plates</t>
        </is>
      </c>
      <c r="F3" s="70" t="inlineStr">
        <is>
          <t>[["Power rack / squat stands","Barbell + plates"]]</t>
        </is>
      </c>
      <c r="G3" s="70" t="inlineStr">
        <is>
          <t>[]</t>
        </is>
      </c>
      <c r="H3" s="70" t="inlineStr">
        <is>
          <t>Squat</t>
        </is>
      </c>
      <c r="I3" s="70" t="inlineStr">
        <is>
          <t>Main lift</t>
        </is>
      </c>
      <c r="J3" s="70" t="inlineStr">
        <is>
          <t>Useful if it is more back-friendly than back squat.</t>
        </is>
      </c>
      <c r="K3" s="70" t="inlineStr">
        <is>
          <t>Yes</t>
        </is>
      </c>
      <c r="L3" s="70" t="b">
        <v>0</v>
      </c>
      <c r="M3" s="168" t="n">
        <v>46222.41666666666</v>
      </c>
    </row>
    <row r="4">
      <c r="A4" s="67" t="inlineStr">
        <is>
          <t>EX003</t>
        </is>
      </c>
      <c r="B4" s="70" t="inlineStr">
        <is>
          <t>Heels-elevated squat</t>
        </is>
      </c>
      <c r="C4" s="70" t="inlineStr">
        <is>
          <t>Quads</t>
        </is>
      </c>
      <c r="D4" s="70" t="inlineStr">
        <is>
          <t>Squat</t>
        </is>
      </c>
      <c r="E4" s="70" t="inlineStr">
        <is>
          <t>Power rack / squat stands + Barbell + plates OR Dumbbells</t>
        </is>
      </c>
      <c r="F4" s="70" t="inlineStr">
        <is>
          <t>[["Power rack / squat stands","Barbell + plates"],["Dumbbells"]]</t>
        </is>
      </c>
      <c r="G4" s="70" t="inlineStr">
        <is>
          <t>["Slant board / heel wedge"]</t>
        </is>
      </c>
      <c r="H4" s="70" t="inlineStr">
        <is>
          <t>Squat</t>
        </is>
      </c>
      <c r="I4" s="70" t="inlineStr">
        <is>
          <t>Main lift</t>
        </is>
      </c>
      <c r="J4" s="70" t="inlineStr">
        <is>
          <t>More quad bias; use a small wedge or plates under heels.</t>
        </is>
      </c>
      <c r="K4" s="70" t="inlineStr">
        <is>
          <t>Yes</t>
        </is>
      </c>
      <c r="L4" s="70" t="b">
        <v>0</v>
      </c>
      <c r="M4" s="168" t="n">
        <v>46222.41666666666</v>
      </c>
    </row>
    <row r="5">
      <c r="A5" s="67" t="inlineStr">
        <is>
          <t>EX004</t>
        </is>
      </c>
      <c r="B5" s="70" t="inlineStr">
        <is>
          <t>Box squat</t>
        </is>
      </c>
      <c r="C5" s="70" t="inlineStr">
        <is>
          <t>Quads / Glutes</t>
        </is>
      </c>
      <c r="D5" s="70" t="inlineStr">
        <is>
          <t>Squat</t>
        </is>
      </c>
      <c r="E5" s="70" t="inlineStr">
        <is>
          <t>Power rack / squat stands + Barbell + plates + Bench or box</t>
        </is>
      </c>
      <c r="F5" s="70" t="inlineStr">
        <is>
          <t>[["Power rack / squat stands","Barbell + plates","Bench or box"]]</t>
        </is>
      </c>
      <c r="G5" s="70" t="inlineStr">
        <is>
          <t>[]</t>
        </is>
      </c>
      <c r="H5" s="70" t="inlineStr">
        <is>
          <t>Squat</t>
        </is>
      </c>
      <c r="I5" s="70" t="inlineStr">
        <is>
          <t>Substitution</t>
        </is>
      </c>
      <c r="J5" s="70" t="inlineStr">
        <is>
          <t>Useful for controlled depth.</t>
        </is>
      </c>
      <c r="K5" s="70" t="inlineStr">
        <is>
          <t>Yes</t>
        </is>
      </c>
      <c r="L5" s="70" t="b">
        <v>0</v>
      </c>
      <c r="M5" s="168" t="n">
        <v>46222.41666666666</v>
      </c>
    </row>
    <row r="6">
      <c r="A6" s="67" t="inlineStr">
        <is>
          <t>EX005</t>
        </is>
      </c>
      <c r="B6" s="70" t="inlineStr">
        <is>
          <t>Goblet squat</t>
        </is>
      </c>
      <c r="C6" s="70" t="inlineStr">
        <is>
          <t>Quads / Glutes</t>
        </is>
      </c>
      <c r="D6" s="70" t="inlineStr">
        <is>
          <t>Squat</t>
        </is>
      </c>
      <c r="E6" s="70" t="inlineStr">
        <is>
          <t>Dumbbells OR Kettlebells</t>
        </is>
      </c>
      <c r="F6" s="70" t="inlineStr">
        <is>
          <t>[["Dumbbells"],["Kettlebells"]]</t>
        </is>
      </c>
      <c r="G6" s="70" t="inlineStr">
        <is>
          <t>["Slant board / heel wedge"]</t>
        </is>
      </c>
      <c r="H6" s="70" t="inlineStr">
        <is>
          <t>Squat</t>
        </is>
      </c>
      <c r="I6" s="70" t="inlineStr">
        <is>
          <t>Substitution</t>
        </is>
      </c>
      <c r="J6" s="70" t="inlineStr">
        <is>
          <t>Good warm-up or deload option.</t>
        </is>
      </c>
      <c r="K6" s="70" t="inlineStr">
        <is>
          <t>Yes</t>
        </is>
      </c>
      <c r="L6" s="70" t="b">
        <v>0</v>
      </c>
      <c r="M6" s="168" t="n">
        <v>46222.41666666666</v>
      </c>
    </row>
    <row r="7">
      <c r="A7" s="67" t="inlineStr">
        <is>
          <t>EX006</t>
        </is>
      </c>
      <c r="B7" s="70" t="inlineStr">
        <is>
          <t>Bulgarian split squat</t>
        </is>
      </c>
      <c r="C7" s="70" t="inlineStr">
        <is>
          <t>Quads / Glutes</t>
        </is>
      </c>
      <c r="D7" s="70" t="inlineStr">
        <is>
          <t>Single-leg</t>
        </is>
      </c>
      <c r="E7" s="70" t="inlineStr">
        <is>
          <t>Bench or box</t>
        </is>
      </c>
      <c r="F7" s="70" t="inlineStr">
        <is>
          <t>[["Bench or box"]]</t>
        </is>
      </c>
      <c r="G7" s="70" t="inlineStr">
        <is>
          <t>["Dumbbells"]</t>
        </is>
      </c>
      <c r="H7" s="70" t="inlineStr">
        <is>
          <t>Squat</t>
        </is>
      </c>
      <c r="I7" s="70" t="inlineStr">
        <is>
          <t>Accessory</t>
        </is>
      </c>
      <c r="J7" s="70" t="inlineStr">
        <is>
          <t>High stimulus with lower spinal loading.</t>
        </is>
      </c>
      <c r="K7" s="70" t="inlineStr">
        <is>
          <t>Yes</t>
        </is>
      </c>
      <c r="L7" s="70" t="b">
        <v>0</v>
      </c>
      <c r="M7" s="168" t="n">
        <v>46222.41666666666</v>
      </c>
    </row>
    <row r="8">
      <c r="A8" s="67" t="inlineStr">
        <is>
          <t>EX007</t>
        </is>
      </c>
      <c r="B8" s="70" t="inlineStr">
        <is>
          <t>Reverse lunge</t>
        </is>
      </c>
      <c r="C8" s="70" t="inlineStr">
        <is>
          <t>Quads / Glutes</t>
        </is>
      </c>
      <c r="D8" s="70" t="inlineStr">
        <is>
          <t>Single-leg</t>
        </is>
      </c>
      <c r="E8" s="70" t="inlineStr">
        <is>
          <t>Bodyweight / floor space</t>
        </is>
      </c>
      <c r="F8" s="70" t="inlineStr">
        <is>
          <t>[["Bodyweight / floor space"]]</t>
        </is>
      </c>
      <c r="G8" s="70" t="inlineStr">
        <is>
          <t>["Dumbbells"]</t>
        </is>
      </c>
      <c r="H8" s="70" t="inlineStr">
        <is>
          <t>Squat</t>
        </is>
      </c>
      <c r="I8" s="70" t="inlineStr">
        <is>
          <t>Accessory</t>
        </is>
      </c>
      <c r="J8" s="70" t="inlineStr">
        <is>
          <t>Usually knee-friendly if stride is controlled.</t>
        </is>
      </c>
      <c r="K8" s="70" t="inlineStr">
        <is>
          <t>Yes</t>
        </is>
      </c>
      <c r="L8" s="70" t="b">
        <v>0</v>
      </c>
      <c r="M8" s="168" t="n">
        <v>46222.41666666666</v>
      </c>
    </row>
    <row r="9">
      <c r="A9" s="67" t="inlineStr">
        <is>
          <t>EX008</t>
        </is>
      </c>
      <c r="B9" s="70" t="inlineStr">
        <is>
          <t>Romanian deadlift</t>
        </is>
      </c>
      <c r="C9" s="70" t="inlineStr">
        <is>
          <t>Hamstrings / Glutes</t>
        </is>
      </c>
      <c r="D9" s="70" t="inlineStr">
        <is>
          <t>Hip hinge</t>
        </is>
      </c>
      <c r="E9" s="70" t="inlineStr">
        <is>
          <t>Barbell + plates OR Dumbbells OR Kettlebells</t>
        </is>
      </c>
      <c r="F9" s="70" t="inlineStr">
        <is>
          <t>[["Barbell + plates"],["Dumbbells"],["Kettlebells"]]</t>
        </is>
      </c>
      <c r="G9" s="70" t="inlineStr">
        <is>
          <t>[]</t>
        </is>
      </c>
      <c r="H9" s="70" t="inlineStr">
        <is>
          <t>Hinge</t>
        </is>
      </c>
      <c r="I9" s="70" t="inlineStr">
        <is>
          <t>Main lift</t>
        </is>
      </c>
      <c r="J9" s="70" t="inlineStr">
        <is>
          <t>Only use if lower back is not the limiter.</t>
        </is>
      </c>
      <c r="K9" s="70" t="inlineStr">
        <is>
          <t>Yes</t>
        </is>
      </c>
      <c r="L9" s="70" t="b">
        <v>0</v>
      </c>
      <c r="M9" s="168" t="n">
        <v>46222.41666666666</v>
      </c>
    </row>
    <row r="10">
      <c r="A10" s="67" t="inlineStr">
        <is>
          <t>EX009</t>
        </is>
      </c>
      <c r="B10" s="70" t="inlineStr">
        <is>
          <t>Dumbbell Romanian deadlift</t>
        </is>
      </c>
      <c r="C10" s="70" t="inlineStr">
        <is>
          <t>Hamstrings / Glutes</t>
        </is>
      </c>
      <c r="D10" s="70" t="inlineStr">
        <is>
          <t>Hip hinge</t>
        </is>
      </c>
      <c r="E10" s="70" t="inlineStr">
        <is>
          <t>Dumbbells</t>
        </is>
      </c>
      <c r="F10" s="70" t="inlineStr">
        <is>
          <t>[["Dumbbells"]]</t>
        </is>
      </c>
      <c r="G10" s="70" t="inlineStr">
        <is>
          <t>[]</t>
        </is>
      </c>
      <c r="H10" s="70" t="inlineStr">
        <is>
          <t>Hinge</t>
        </is>
      </c>
      <c r="I10" s="70" t="inlineStr">
        <is>
          <t>Substitution</t>
        </is>
      </c>
      <c r="J10" s="70" t="inlineStr">
        <is>
          <t>Easier to control than barbell for some lifters.</t>
        </is>
      </c>
      <c r="K10" s="70" t="inlineStr">
        <is>
          <t>Yes</t>
        </is>
      </c>
      <c r="L10" s="70" t="b">
        <v>0</v>
      </c>
      <c r="M10" s="168" t="n">
        <v>46222.41666666666</v>
      </c>
    </row>
    <row r="11">
      <c r="A11" s="67" t="inlineStr">
        <is>
          <t>EX010</t>
        </is>
      </c>
      <c r="B11" s="70" t="inlineStr">
        <is>
          <t>Barbell hip thrust</t>
        </is>
      </c>
      <c r="C11" s="70" t="inlineStr">
        <is>
          <t>Glutes / Hamstrings</t>
        </is>
      </c>
      <c r="D11" s="70" t="inlineStr">
        <is>
          <t>Hip extension</t>
        </is>
      </c>
      <c r="E11" s="70" t="inlineStr">
        <is>
          <t>Barbell + plates + Bench</t>
        </is>
      </c>
      <c r="F11" s="70" t="inlineStr">
        <is>
          <t>[["Barbell + plates","Bench"]]</t>
        </is>
      </c>
      <c r="G11" s="70" t="inlineStr">
        <is>
          <t>[]</t>
        </is>
      </c>
      <c r="H11" s="70" t="inlineStr">
        <is>
          <t>Hinge</t>
        </is>
      </c>
      <c r="I11" s="70" t="inlineStr">
        <is>
          <t>Main lift</t>
        </is>
      </c>
      <c r="J11" s="70" t="inlineStr">
        <is>
          <t>Back-friendly hinge replacement.</t>
        </is>
      </c>
      <c r="K11" s="70" t="inlineStr">
        <is>
          <t>Yes</t>
        </is>
      </c>
      <c r="L11" s="70" t="b">
        <v>0</v>
      </c>
      <c r="M11" s="168" t="n">
        <v>46222.41666666666</v>
      </c>
    </row>
    <row r="12">
      <c r="A12" s="67" t="inlineStr">
        <is>
          <t>EX011</t>
        </is>
      </c>
      <c r="B12" s="70" t="inlineStr">
        <is>
          <t>Cable pull-through</t>
        </is>
      </c>
      <c r="C12" s="70" t="inlineStr">
        <is>
          <t>Glutes / Hamstrings</t>
        </is>
      </c>
      <c r="D12" s="70" t="inlineStr">
        <is>
          <t>Hip hinge</t>
        </is>
      </c>
      <c r="E12" s="70" t="inlineStr">
        <is>
          <t>Cable station</t>
        </is>
      </c>
      <c r="F12" s="70" t="inlineStr">
        <is>
          <t>[["Cable station"]]</t>
        </is>
      </c>
      <c r="G12" s="70" t="inlineStr">
        <is>
          <t>[]</t>
        </is>
      </c>
      <c r="H12" s="70" t="inlineStr">
        <is>
          <t>Hinge</t>
        </is>
      </c>
      <c r="I12" s="70" t="inlineStr">
        <is>
          <t>Substitution</t>
        </is>
      </c>
      <c r="J12" s="70" t="inlineStr">
        <is>
          <t>Good replacement for RDL if back feels taxed.</t>
        </is>
      </c>
      <c r="K12" s="70" t="inlineStr">
        <is>
          <t>Yes</t>
        </is>
      </c>
      <c r="L12" s="70" t="b">
        <v>0</v>
      </c>
      <c r="M12" s="168" t="n">
        <v>46222.41666666666</v>
      </c>
    </row>
    <row r="13">
      <c r="A13" s="67" t="inlineStr">
        <is>
          <t>EX012</t>
        </is>
      </c>
      <c r="B13" s="70" t="inlineStr">
        <is>
          <t>Cable leg curl</t>
        </is>
      </c>
      <c r="C13" s="70" t="inlineStr">
        <is>
          <t>Hamstrings</t>
        </is>
      </c>
      <c r="D13" s="70" t="inlineStr">
        <is>
          <t>Knee flexion</t>
        </is>
      </c>
      <c r="E13" s="70" t="inlineStr">
        <is>
          <t>Cable station + Ankle strap</t>
        </is>
      </c>
      <c r="F13" s="70" t="inlineStr">
        <is>
          <t>[["Cable station","Ankle strap"]]</t>
        </is>
      </c>
      <c r="G13" s="70" t="inlineStr">
        <is>
          <t>[]</t>
        </is>
      </c>
      <c r="H13" s="70" t="inlineStr">
        <is>
          <t>Hamstrings</t>
        </is>
      </c>
      <c r="I13" s="70" t="inlineStr">
        <is>
          <t>Accessory</t>
        </is>
      </c>
      <c r="J13" s="70" t="inlineStr">
        <is>
          <t>Can use bench/prone setup with ankle strap.</t>
        </is>
      </c>
      <c r="K13" s="70" t="inlineStr">
        <is>
          <t>Yes</t>
        </is>
      </c>
      <c r="L13" s="70" t="b">
        <v>0</v>
      </c>
      <c r="M13" s="168" t="n">
        <v>46222.41666666666</v>
      </c>
    </row>
    <row r="14">
      <c r="A14" s="67" t="inlineStr">
        <is>
          <t>EX013</t>
        </is>
      </c>
      <c r="B14" s="70" t="inlineStr">
        <is>
          <t>Standing calf raise</t>
        </is>
      </c>
      <c r="C14" s="70" t="inlineStr">
        <is>
          <t>Calves</t>
        </is>
      </c>
      <c r="D14" s="70" t="inlineStr">
        <is>
          <t>Calf raise</t>
        </is>
      </c>
      <c r="E14" s="70" t="inlineStr">
        <is>
          <t>Bodyweight / floor space</t>
        </is>
      </c>
      <c r="F14" s="70" t="inlineStr">
        <is>
          <t>[["Bodyweight / floor space"]]</t>
        </is>
      </c>
      <c r="G14" s="70" t="inlineStr">
        <is>
          <t>["Dumbbells","Barbell + plates","Calf raise platform / machine"]</t>
        </is>
      </c>
      <c r="H14" s="70" t="inlineStr">
        <is>
          <t>Calves</t>
        </is>
      </c>
      <c r="I14" s="70" t="inlineStr">
        <is>
          <t>Accessory</t>
        </is>
      </c>
      <c r="J14" s="70" t="inlineStr">
        <is>
          <t>Pause in stretched and contracted positions.</t>
        </is>
      </c>
      <c r="K14" s="70" t="inlineStr">
        <is>
          <t>Yes</t>
        </is>
      </c>
      <c r="L14" s="70" t="b">
        <v>0</v>
      </c>
      <c r="M14" s="168" t="n">
        <v>46222.41666666666</v>
      </c>
    </row>
    <row r="15">
      <c r="A15" s="67" t="inlineStr">
        <is>
          <t>EX014</t>
        </is>
      </c>
      <c r="B15" s="70" t="inlineStr">
        <is>
          <t>Barbell bench press</t>
        </is>
      </c>
      <c r="C15" s="70" t="inlineStr">
        <is>
          <t>Chest / Triceps</t>
        </is>
      </c>
      <c r="D15" s="70" t="inlineStr">
        <is>
          <t>Horizontal press</t>
        </is>
      </c>
      <c r="E15" s="70" t="inlineStr">
        <is>
          <t>Power rack / squat stands + Barbell + plates + Bench</t>
        </is>
      </c>
      <c r="F15" s="70" t="inlineStr">
        <is>
          <t>[["Power rack / squat stands","Barbell + plates","Bench"]]</t>
        </is>
      </c>
      <c r="G15" s="70" t="inlineStr">
        <is>
          <t>[]</t>
        </is>
      </c>
      <c r="H15" s="70" t="inlineStr">
        <is>
          <t>Press</t>
        </is>
      </c>
      <c r="I15" s="70" t="inlineStr">
        <is>
          <t>Main lift</t>
        </is>
      </c>
      <c r="J15" s="70" t="inlineStr">
        <is>
          <t>Use safeties in rack.</t>
        </is>
      </c>
      <c r="K15" s="70" t="inlineStr">
        <is>
          <t>Yes</t>
        </is>
      </c>
      <c r="L15" s="70" t="b">
        <v>0</v>
      </c>
      <c r="M15" s="168" t="n">
        <v>46222.41666666666</v>
      </c>
    </row>
    <row r="16">
      <c r="A16" s="67" t="inlineStr">
        <is>
          <t>EX015</t>
        </is>
      </c>
      <c r="B16" s="70" t="inlineStr">
        <is>
          <t>Dumbbell bench press</t>
        </is>
      </c>
      <c r="C16" s="70" t="inlineStr">
        <is>
          <t>Chest / Triceps</t>
        </is>
      </c>
      <c r="D16" s="70" t="inlineStr">
        <is>
          <t>Horizontal press</t>
        </is>
      </c>
      <c r="E16" s="70" t="inlineStr">
        <is>
          <t>Dumbbells + Bench</t>
        </is>
      </c>
      <c r="F16" s="70" t="inlineStr">
        <is>
          <t>[["Dumbbells","Bench"]]</t>
        </is>
      </c>
      <c r="G16" s="70" t="inlineStr">
        <is>
          <t>[]</t>
        </is>
      </c>
      <c r="H16" s="70" t="inlineStr">
        <is>
          <t>Press</t>
        </is>
      </c>
      <c r="I16" s="70" t="inlineStr">
        <is>
          <t>Substitution</t>
        </is>
      </c>
      <c r="J16" s="70" t="inlineStr">
        <is>
          <t>Good shoulder-friendly press variation.</t>
        </is>
      </c>
      <c r="K16" s="70" t="inlineStr">
        <is>
          <t>Yes</t>
        </is>
      </c>
      <c r="L16" s="70" t="b">
        <v>0</v>
      </c>
      <c r="M16" s="168" t="n">
        <v>46222.41666666666</v>
      </c>
    </row>
    <row r="17">
      <c r="A17" s="67" t="inlineStr">
        <is>
          <t>EX016</t>
        </is>
      </c>
      <c r="B17" s="70" t="inlineStr">
        <is>
          <t>Incline dumbbell press</t>
        </is>
      </c>
      <c r="C17" s="70" t="inlineStr">
        <is>
          <t>Upper chest</t>
        </is>
      </c>
      <c r="D17" s="70" t="inlineStr">
        <is>
          <t>Incline press</t>
        </is>
      </c>
      <c r="E17" s="70" t="inlineStr">
        <is>
          <t>Dumbbells + Adjustable bench</t>
        </is>
      </c>
      <c r="F17" s="70" t="inlineStr">
        <is>
          <t>[["Dumbbells","Adjustable bench"]]</t>
        </is>
      </c>
      <c r="G17" s="70" t="inlineStr">
        <is>
          <t>[]</t>
        </is>
      </c>
      <c r="H17" s="70" t="inlineStr">
        <is>
          <t>Press</t>
        </is>
      </c>
      <c r="I17" s="70" t="inlineStr">
        <is>
          <t>Accessory</t>
        </is>
      </c>
      <c r="J17" s="70" t="inlineStr">
        <is>
          <t>Use controlled eccentric.</t>
        </is>
      </c>
      <c r="K17" s="70" t="inlineStr">
        <is>
          <t>Yes</t>
        </is>
      </c>
      <c r="L17" s="70" t="b">
        <v>0</v>
      </c>
      <c r="M17" s="168" t="n">
        <v>46222.41666666666</v>
      </c>
    </row>
    <row r="18">
      <c r="A18" s="67" t="inlineStr">
        <is>
          <t>EX017</t>
        </is>
      </c>
      <c r="B18" s="70" t="inlineStr">
        <is>
          <t>Floor press</t>
        </is>
      </c>
      <c r="C18" s="70" t="inlineStr">
        <is>
          <t>Chest / Triceps</t>
        </is>
      </c>
      <c r="D18" s="70" t="inlineStr">
        <is>
          <t>Horizontal press</t>
        </is>
      </c>
      <c r="E18" s="70" t="inlineStr">
        <is>
          <t>Barbell + plates OR Dumbbells</t>
        </is>
      </c>
      <c r="F18" s="70" t="inlineStr">
        <is>
          <t>[["Barbell + plates"],["Dumbbells"]]</t>
        </is>
      </c>
      <c r="G18" s="70" t="inlineStr">
        <is>
          <t>["Power rack / squat stands"]</t>
        </is>
      </c>
      <c r="H18" s="70" t="inlineStr">
        <is>
          <t>Press</t>
        </is>
      </c>
      <c r="I18" s="70" t="inlineStr">
        <is>
          <t>Substitution</t>
        </is>
      </c>
      <c r="J18" s="70" t="inlineStr">
        <is>
          <t>Good if shoulder range is sensitive.</t>
        </is>
      </c>
      <c r="K18" s="70" t="inlineStr">
        <is>
          <t>Yes</t>
        </is>
      </c>
      <c r="L18" s="70" t="b">
        <v>0</v>
      </c>
      <c r="M18" s="168" t="n">
        <v>46222.41666666666</v>
      </c>
    </row>
    <row r="19">
      <c r="A19" s="67" t="inlineStr">
        <is>
          <t>EX018</t>
        </is>
      </c>
      <c r="B19" s="70" t="inlineStr">
        <is>
          <t>Close-grip bench press</t>
        </is>
      </c>
      <c r="C19" s="70" t="inlineStr">
        <is>
          <t>Triceps / Chest</t>
        </is>
      </c>
      <c r="D19" s="70" t="inlineStr">
        <is>
          <t>Horizontal press</t>
        </is>
      </c>
      <c r="E19" s="70" t="inlineStr">
        <is>
          <t>Power rack / squat stands + Barbell + plates + Bench</t>
        </is>
      </c>
      <c r="F19" s="70" t="inlineStr">
        <is>
          <t>[["Power rack / squat stands","Barbell + plates","Bench"]]</t>
        </is>
      </c>
      <c r="G19" s="70" t="inlineStr">
        <is>
          <t>[]</t>
        </is>
      </c>
      <c r="H19" s="70" t="inlineStr">
        <is>
          <t>Triceps</t>
        </is>
      </c>
      <c r="I19" s="70" t="inlineStr">
        <is>
          <t>Accessory</t>
        </is>
      </c>
      <c r="J19" s="70" t="inlineStr">
        <is>
          <t>Avoid painful wrist/elbow angles.</t>
        </is>
      </c>
      <c r="K19" s="70" t="inlineStr">
        <is>
          <t>Yes</t>
        </is>
      </c>
      <c r="L19" s="70" t="b">
        <v>0</v>
      </c>
      <c r="M19" s="168" t="n">
        <v>46222.41666666666</v>
      </c>
    </row>
    <row r="20">
      <c r="A20" s="67" t="inlineStr">
        <is>
          <t>EX019</t>
        </is>
      </c>
      <c r="B20" s="70" t="inlineStr">
        <is>
          <t>Weighted ring push-up</t>
        </is>
      </c>
      <c r="C20" s="70" t="inlineStr">
        <is>
          <t>Chest / Triceps</t>
        </is>
      </c>
      <c r="D20" s="70" t="inlineStr">
        <is>
          <t>Horizontal press</t>
        </is>
      </c>
      <c r="E20" s="70" t="inlineStr">
        <is>
          <t>Gymnastic rings / suspension trainer</t>
        </is>
      </c>
      <c r="F20" s="70" t="inlineStr">
        <is>
          <t>[["Gymnastic rings / suspension trainer"]]</t>
        </is>
      </c>
      <c r="G20" s="70" t="inlineStr">
        <is>
          <t>["Weighted vest"]</t>
        </is>
      </c>
      <c r="H20" s="70" t="inlineStr">
        <is>
          <t>Press</t>
        </is>
      </c>
      <c r="I20" s="70" t="inlineStr">
        <is>
          <t>Substitution</t>
        </is>
      </c>
      <c r="J20" s="70" t="inlineStr">
        <is>
          <t>Progress by adding load or elevating feet.</t>
        </is>
      </c>
      <c r="K20" s="70" t="inlineStr">
        <is>
          <t>Yes</t>
        </is>
      </c>
      <c r="L20" s="70" t="b">
        <v>0</v>
      </c>
      <c r="M20" s="168" t="n">
        <v>46222.41666666666</v>
      </c>
    </row>
    <row r="21">
      <c r="A21" s="67" t="inlineStr">
        <is>
          <t>EX020</t>
        </is>
      </c>
      <c r="B21" s="70" t="inlineStr">
        <is>
          <t>Seated dumbbell overhead press</t>
        </is>
      </c>
      <c r="C21" s="70" t="inlineStr">
        <is>
          <t>Delts / Triceps</t>
        </is>
      </c>
      <c r="D21" s="70" t="inlineStr">
        <is>
          <t>Vertical press</t>
        </is>
      </c>
      <c r="E21" s="70" t="inlineStr">
        <is>
          <t>Dumbbells + Bench</t>
        </is>
      </c>
      <c r="F21" s="70" t="inlineStr">
        <is>
          <t>[["Dumbbells","Bench"]]</t>
        </is>
      </c>
      <c r="G21" s="70" t="inlineStr">
        <is>
          <t>[]</t>
        </is>
      </c>
      <c r="H21" s="70" t="inlineStr">
        <is>
          <t>Press</t>
        </is>
      </c>
      <c r="I21" s="70" t="inlineStr">
        <is>
          <t>Main lift</t>
        </is>
      </c>
      <c r="J21" s="70" t="inlineStr">
        <is>
          <t>More back-friendly than standing press.</t>
        </is>
      </c>
      <c r="K21" s="70" t="inlineStr">
        <is>
          <t>Yes</t>
        </is>
      </c>
      <c r="L21" s="70" t="b">
        <v>0</v>
      </c>
      <c r="M21" s="168" t="n">
        <v>46222.41666666666</v>
      </c>
    </row>
    <row r="22">
      <c r="A22" s="67" t="inlineStr">
        <is>
          <t>EX021</t>
        </is>
      </c>
      <c r="B22" s="70" t="inlineStr">
        <is>
          <t>Standing overhead press</t>
        </is>
      </c>
      <c r="C22" s="70" t="inlineStr">
        <is>
          <t>Delts / Triceps</t>
        </is>
      </c>
      <c r="D22" s="70" t="inlineStr">
        <is>
          <t>Vertical press</t>
        </is>
      </c>
      <c r="E22" s="70" t="inlineStr">
        <is>
          <t>Barbell + plates</t>
        </is>
      </c>
      <c r="F22" s="70" t="inlineStr">
        <is>
          <t>[["Barbell + plates"]]</t>
        </is>
      </c>
      <c r="G22" s="70" t="inlineStr">
        <is>
          <t>[]</t>
        </is>
      </c>
      <c r="H22" s="70" t="inlineStr">
        <is>
          <t>Press</t>
        </is>
      </c>
      <c r="I22" s="70" t="inlineStr">
        <is>
          <t>Substitution</t>
        </is>
      </c>
      <c r="J22" s="70" t="inlineStr">
        <is>
          <t>Use only if bracing is solid.</t>
        </is>
      </c>
      <c r="K22" s="70" t="inlineStr">
        <is>
          <t>Yes</t>
        </is>
      </c>
      <c r="L22" s="70" t="b">
        <v>0</v>
      </c>
      <c r="M22" s="168" t="n">
        <v>46222.41666666666</v>
      </c>
    </row>
    <row r="23">
      <c r="A23" s="67" t="inlineStr">
        <is>
          <t>EX022</t>
        </is>
      </c>
      <c r="B23" s="70" t="inlineStr">
        <is>
          <t>Incline dumbbell or seated dumbbell press</t>
        </is>
      </c>
      <c r="C23" s="70" t="inlineStr">
        <is>
          <t>Chest / Delts</t>
        </is>
      </c>
      <c r="D23" s="70" t="inlineStr">
        <is>
          <t>Incline or vertical press</t>
        </is>
      </c>
      <c r="E23" s="70" t="inlineStr">
        <is>
          <t>Dumbbells + Adjustable bench</t>
        </is>
      </c>
      <c r="F23" s="70" t="inlineStr">
        <is>
          <t>[["Dumbbells","Adjustable bench"]]</t>
        </is>
      </c>
      <c r="G23" s="70" t="inlineStr">
        <is>
          <t>[]</t>
        </is>
      </c>
      <c r="H23" s="70" t="inlineStr">
        <is>
          <t>Press</t>
        </is>
      </c>
      <c r="I23" s="70" t="inlineStr">
        <is>
          <t>RFL combined slot</t>
        </is>
      </c>
      <c r="J23" s="70" t="inlineStr">
        <is>
          <t>Choose the one that feels strongest that day.</t>
        </is>
      </c>
      <c r="K23" s="70" t="inlineStr">
        <is>
          <t>Yes</t>
        </is>
      </c>
      <c r="L23" s="70" t="b">
        <v>0</v>
      </c>
      <c r="M23" s="168" t="n">
        <v>46222.41666666666</v>
      </c>
    </row>
    <row r="24">
      <c r="A24" s="67" t="inlineStr">
        <is>
          <t>EX023</t>
        </is>
      </c>
      <c r="B24" s="70" t="inlineStr">
        <is>
          <t>Chest-supported dumbbell row</t>
        </is>
      </c>
      <c r="C24" s="70" t="inlineStr">
        <is>
          <t>Upper back / Lats</t>
        </is>
      </c>
      <c r="D24" s="70" t="inlineStr">
        <is>
          <t>Horizontal pull</t>
        </is>
      </c>
      <c r="E24" s="70" t="inlineStr">
        <is>
          <t>Dumbbells + Adjustable bench</t>
        </is>
      </c>
      <c r="F24" s="70" t="inlineStr">
        <is>
          <t>[["Dumbbells","Adjustable bench"]]</t>
        </is>
      </c>
      <c r="G24" s="70" t="inlineStr">
        <is>
          <t>[]</t>
        </is>
      </c>
      <c r="H24" s="70" t="inlineStr">
        <is>
          <t>Row</t>
        </is>
      </c>
      <c r="I24" s="70" t="inlineStr">
        <is>
          <t>Main lift</t>
        </is>
      </c>
      <c r="J24" s="70" t="inlineStr">
        <is>
          <t>Preferred back-friendly row.</t>
        </is>
      </c>
      <c r="K24" s="70" t="inlineStr">
        <is>
          <t>Yes</t>
        </is>
      </c>
      <c r="L24" s="70" t="b">
        <v>0</v>
      </c>
      <c r="M24" s="168" t="n">
        <v>46222.41666666666</v>
      </c>
    </row>
    <row r="25">
      <c r="A25" s="67" t="inlineStr">
        <is>
          <t>EX024</t>
        </is>
      </c>
      <c r="B25" s="70" t="inlineStr">
        <is>
          <t>One-arm cable row</t>
        </is>
      </c>
      <c r="C25" s="70" t="inlineStr">
        <is>
          <t>Upper back / Lats</t>
        </is>
      </c>
      <c r="D25" s="70" t="inlineStr">
        <is>
          <t>Horizontal pull</t>
        </is>
      </c>
      <c r="E25" s="70" t="inlineStr">
        <is>
          <t>Cable station</t>
        </is>
      </c>
      <c r="F25" s="70" t="inlineStr">
        <is>
          <t>[["Cable station"]]</t>
        </is>
      </c>
      <c r="G25" s="70" t="inlineStr">
        <is>
          <t>[]</t>
        </is>
      </c>
      <c r="H25" s="70" t="inlineStr">
        <is>
          <t>Row</t>
        </is>
      </c>
      <c r="I25" s="70" t="inlineStr">
        <is>
          <t>Accessory</t>
        </is>
      </c>
      <c r="J25" s="70" t="inlineStr">
        <is>
          <t>Keep torso stable.</t>
        </is>
      </c>
      <c r="K25" s="70" t="inlineStr">
        <is>
          <t>Yes</t>
        </is>
      </c>
      <c r="L25" s="70" t="b">
        <v>0</v>
      </c>
      <c r="M25" s="168" t="n">
        <v>46222.41666666666</v>
      </c>
    </row>
    <row r="26">
      <c r="A26" s="67" t="inlineStr">
        <is>
          <t>EX025</t>
        </is>
      </c>
      <c r="B26" s="70" t="inlineStr">
        <is>
          <t>Seated cable row</t>
        </is>
      </c>
      <c r="C26" s="70" t="inlineStr">
        <is>
          <t>Upper back / Lats</t>
        </is>
      </c>
      <c r="D26" s="70" t="inlineStr">
        <is>
          <t>Horizontal pull</t>
        </is>
      </c>
      <c r="E26" s="70" t="inlineStr">
        <is>
          <t>Cable station OR Lat pulldown / low row machine</t>
        </is>
      </c>
      <c r="F26" s="70" t="inlineStr">
        <is>
          <t>[["Cable station"],["Lat pulldown / low row machine"]]</t>
        </is>
      </c>
      <c r="G26" s="70" t="inlineStr">
        <is>
          <t>[]</t>
        </is>
      </c>
      <c r="H26" s="70" t="inlineStr">
        <is>
          <t>Row</t>
        </is>
      </c>
      <c r="I26" s="70" t="inlineStr">
        <is>
          <t>Substitution</t>
        </is>
      </c>
      <c r="J26" s="70" t="inlineStr">
        <is>
          <t>Good controlled row option.</t>
        </is>
      </c>
      <c r="K26" s="70" t="inlineStr">
        <is>
          <t>Yes</t>
        </is>
      </c>
      <c r="L26" s="70" t="b">
        <v>0</v>
      </c>
      <c r="M26" s="168" t="n">
        <v>46222.41666666666</v>
      </c>
    </row>
    <row r="27">
      <c r="A27" s="67" t="inlineStr">
        <is>
          <t>EX026</t>
        </is>
      </c>
      <c r="B27" s="70" t="inlineStr">
        <is>
          <t>One-arm dumbbell row</t>
        </is>
      </c>
      <c r="C27" s="70" t="inlineStr">
        <is>
          <t>Lats / Upper back</t>
        </is>
      </c>
      <c r="D27" s="70" t="inlineStr">
        <is>
          <t>Horizontal pull</t>
        </is>
      </c>
      <c r="E27" s="70" t="inlineStr">
        <is>
          <t>Dumbbells + Bench</t>
        </is>
      </c>
      <c r="F27" s="70" t="inlineStr">
        <is>
          <t>[["Dumbbells","Bench"]]</t>
        </is>
      </c>
      <c r="G27" s="70" t="inlineStr">
        <is>
          <t>[]</t>
        </is>
      </c>
      <c r="H27" s="70" t="inlineStr">
        <is>
          <t>Row</t>
        </is>
      </c>
      <c r="I27" s="70" t="inlineStr">
        <is>
          <t>Substitution</t>
        </is>
      </c>
      <c r="J27" s="70" t="inlineStr">
        <is>
          <t>Support torso on bench.</t>
        </is>
      </c>
      <c r="K27" s="70" t="inlineStr">
        <is>
          <t>Yes</t>
        </is>
      </c>
      <c r="L27" s="70" t="b">
        <v>0</v>
      </c>
      <c r="M27" s="168" t="n">
        <v>46222.41666666666</v>
      </c>
    </row>
    <row r="28">
      <c r="A28" s="67" t="inlineStr">
        <is>
          <t>EX027</t>
        </is>
      </c>
      <c r="B28" s="70" t="inlineStr">
        <is>
          <t>Inverted row</t>
        </is>
      </c>
      <c r="C28" s="70" t="inlineStr">
        <is>
          <t>Upper back</t>
        </is>
      </c>
      <c r="D28" s="70" t="inlineStr">
        <is>
          <t>Horizontal pull</t>
        </is>
      </c>
      <c r="E28" s="70" t="inlineStr">
        <is>
          <t>Gymnastic rings / suspension trainer OR Power rack / squat stands + Barbell + plates</t>
        </is>
      </c>
      <c r="F28" s="70" t="inlineStr">
        <is>
          <t>[["Gymnastic rings / suspension trainer"],["Power rack / squat stands","Barbell + plates"]]</t>
        </is>
      </c>
      <c r="G28" s="70" t="inlineStr">
        <is>
          <t>["Weighted vest"]</t>
        </is>
      </c>
      <c r="H28" s="70" t="inlineStr">
        <is>
          <t>Row</t>
        </is>
      </c>
      <c r="I28" s="70" t="inlineStr">
        <is>
          <t>Substitution</t>
        </is>
      </c>
      <c r="J28" s="70" t="inlineStr">
        <is>
          <t>Adjust body angle for difficulty.</t>
        </is>
      </c>
      <c r="K28" s="70" t="inlineStr">
        <is>
          <t>Yes</t>
        </is>
      </c>
      <c r="L28" s="70" t="b">
        <v>0</v>
      </c>
      <c r="M28" s="168" t="n">
        <v>46222.41666666666</v>
      </c>
    </row>
    <row r="29">
      <c r="A29" s="67" t="inlineStr">
        <is>
          <t>EX028</t>
        </is>
      </c>
      <c r="B29" s="70" t="inlineStr">
        <is>
          <t>Barbell row</t>
        </is>
      </c>
      <c r="C29" s="70" t="inlineStr">
        <is>
          <t>Upper back</t>
        </is>
      </c>
      <c r="D29" s="70" t="inlineStr">
        <is>
          <t>Horizontal pull</t>
        </is>
      </c>
      <c r="E29" s="70" t="inlineStr">
        <is>
          <t>Barbell + plates</t>
        </is>
      </c>
      <c r="F29" s="70" t="inlineStr">
        <is>
          <t>[["Barbell + plates"]]</t>
        </is>
      </c>
      <c r="G29" s="70" t="inlineStr">
        <is>
          <t>[]</t>
        </is>
      </c>
      <c r="H29" s="70" t="inlineStr">
        <is>
          <t>Row</t>
        </is>
      </c>
      <c r="I29" s="70" t="inlineStr">
        <is>
          <t>Caution</t>
        </is>
      </c>
      <c r="J29" s="70" t="inlineStr">
        <is>
          <t>Use only if lower back is not limiting.</t>
        </is>
      </c>
      <c r="K29" s="70" t="inlineStr">
        <is>
          <t>No during RFL if fatigued</t>
        </is>
      </c>
      <c r="L29" s="70" t="b">
        <v>0</v>
      </c>
      <c r="M29" s="168" t="n">
        <v>46222.41666666666</v>
      </c>
    </row>
    <row r="30">
      <c r="A30" s="67" t="inlineStr">
        <is>
          <t>EX029</t>
        </is>
      </c>
      <c r="B30" s="70" t="inlineStr">
        <is>
          <t>Cable lat pulldown</t>
        </is>
      </c>
      <c r="C30" s="70" t="inlineStr">
        <is>
          <t>Lats</t>
        </is>
      </c>
      <c r="D30" s="70" t="inlineStr">
        <is>
          <t>Vertical pull</t>
        </is>
      </c>
      <c r="E30" s="70" t="inlineStr">
        <is>
          <t>Cable station OR Lat pulldown / low row machine</t>
        </is>
      </c>
      <c r="F30" s="70" t="inlineStr">
        <is>
          <t>[["Cable station"],["Lat pulldown / low row machine"]]</t>
        </is>
      </c>
      <c r="G30" s="70" t="inlineStr">
        <is>
          <t>[]</t>
        </is>
      </c>
      <c r="H30" s="70" t="inlineStr">
        <is>
          <t>Vertical pull</t>
        </is>
      </c>
      <c r="I30" s="70" t="inlineStr">
        <is>
          <t>Main lift</t>
        </is>
      </c>
      <c r="J30" s="70" t="inlineStr">
        <is>
          <t>Use controlled stretch.</t>
        </is>
      </c>
      <c r="K30" s="70" t="inlineStr">
        <is>
          <t>Yes</t>
        </is>
      </c>
      <c r="L30" s="70" t="b">
        <v>0</v>
      </c>
      <c r="M30" s="168" t="n">
        <v>46222.41666666666</v>
      </c>
    </row>
    <row r="31">
      <c r="A31" s="67" t="inlineStr">
        <is>
          <t>EX030</t>
        </is>
      </c>
      <c r="B31" s="70" t="inlineStr">
        <is>
          <t>Ring chin-up</t>
        </is>
      </c>
      <c r="C31" s="70" t="inlineStr">
        <is>
          <t>Lats / Biceps</t>
        </is>
      </c>
      <c r="D31" s="70" t="inlineStr">
        <is>
          <t>Vertical pull</t>
        </is>
      </c>
      <c r="E31" s="70" t="inlineStr">
        <is>
          <t>Gymnastic rings / suspension trainer</t>
        </is>
      </c>
      <c r="F31" s="70" t="inlineStr">
        <is>
          <t>[["Gymnastic rings / suspension trainer"]]</t>
        </is>
      </c>
      <c r="G31" s="70" t="inlineStr">
        <is>
          <t>["Resistance bands / tubes","Dip belt / loading belt"]</t>
        </is>
      </c>
      <c r="H31" s="70" t="inlineStr">
        <is>
          <t>Vertical pull</t>
        </is>
      </c>
      <c r="I31" s="70" t="inlineStr">
        <is>
          <t>Substitution</t>
        </is>
      </c>
      <c r="J31" s="70" t="inlineStr">
        <is>
          <t>Use assistance if needed.</t>
        </is>
      </c>
      <c r="K31" s="70" t="inlineStr">
        <is>
          <t>Yes</t>
        </is>
      </c>
      <c r="L31" s="70" t="b">
        <v>0</v>
      </c>
      <c r="M31" s="168" t="n">
        <v>46222.41666666666</v>
      </c>
    </row>
    <row r="32">
      <c r="A32" s="67" t="inlineStr">
        <is>
          <t>EX031</t>
        </is>
      </c>
      <c r="B32" s="70" t="inlineStr">
        <is>
          <t>Weighted chin-up</t>
        </is>
      </c>
      <c r="C32" s="70" t="inlineStr">
        <is>
          <t>Lats / Biceps</t>
        </is>
      </c>
      <c r="D32" s="70" t="inlineStr">
        <is>
          <t>Vertical pull</t>
        </is>
      </c>
      <c r="E32" s="70" t="inlineStr">
        <is>
          <t>Pull-up bar + Dip belt / loading belt</t>
        </is>
      </c>
      <c r="F32" s="70" t="inlineStr">
        <is>
          <t>[["Pull-up bar","Dip belt / loading belt"]]</t>
        </is>
      </c>
      <c r="G32" s="70" t="inlineStr">
        <is>
          <t>[]</t>
        </is>
      </c>
      <c r="H32" s="70" t="inlineStr">
        <is>
          <t>Vertical pull</t>
        </is>
      </c>
      <c r="I32" s="70" t="inlineStr">
        <is>
          <t>Main lift</t>
        </is>
      </c>
      <c r="J32" s="70" t="inlineStr">
        <is>
          <t>Only load when reps are clean.</t>
        </is>
      </c>
      <c r="K32" s="70" t="inlineStr">
        <is>
          <t>Yes</t>
        </is>
      </c>
      <c r="L32" s="70" t="b">
        <v>0</v>
      </c>
      <c r="M32" s="168" t="n">
        <v>46222.41666666666</v>
      </c>
    </row>
    <row r="33">
      <c r="A33" s="67" t="inlineStr">
        <is>
          <t>EX032</t>
        </is>
      </c>
      <c r="B33" s="70" t="inlineStr">
        <is>
          <t>Straight-arm cable pulldown</t>
        </is>
      </c>
      <c r="C33" s="70" t="inlineStr">
        <is>
          <t>Lats</t>
        </is>
      </c>
      <c r="D33" s="70" t="inlineStr">
        <is>
          <t>Pullover</t>
        </is>
      </c>
      <c r="E33" s="70" t="inlineStr">
        <is>
          <t>Cable station</t>
        </is>
      </c>
      <c r="F33" s="70" t="inlineStr">
        <is>
          <t>[["Cable station"]]</t>
        </is>
      </c>
      <c r="G33" s="70" t="inlineStr">
        <is>
          <t>[]</t>
        </is>
      </c>
      <c r="H33" s="70" t="inlineStr">
        <is>
          <t>Vertical pull</t>
        </is>
      </c>
      <c r="I33" s="70" t="inlineStr">
        <is>
          <t>Accessory</t>
        </is>
      </c>
      <c r="J33" s="70" t="inlineStr">
        <is>
          <t>Good lat isolation add-on.</t>
        </is>
      </c>
      <c r="K33" s="70" t="inlineStr">
        <is>
          <t>Yes</t>
        </is>
      </c>
      <c r="L33" s="70" t="b">
        <v>0</v>
      </c>
      <c r="M33" s="168" t="n">
        <v>46222.41666666666</v>
      </c>
    </row>
    <row r="34">
      <c r="A34" s="67" t="inlineStr">
        <is>
          <t>EX033</t>
        </is>
      </c>
      <c r="B34" s="70" t="inlineStr">
        <is>
          <t>Cable lateral raise</t>
        </is>
      </c>
      <c r="C34" s="70" t="inlineStr">
        <is>
          <t>Side delts</t>
        </is>
      </c>
      <c r="D34" s="70" t="inlineStr">
        <is>
          <t>Lateral raise</t>
        </is>
      </c>
      <c r="E34" s="70" t="inlineStr">
        <is>
          <t>Cable station</t>
        </is>
      </c>
      <c r="F34" s="70" t="inlineStr">
        <is>
          <t>[["Cable station"]]</t>
        </is>
      </c>
      <c r="G34" s="70" t="inlineStr">
        <is>
          <t>[]</t>
        </is>
      </c>
      <c r="H34" s="70" t="inlineStr">
        <is>
          <t>Delts</t>
        </is>
      </c>
      <c r="I34" s="70" t="inlineStr">
        <is>
          <t>GVS-style accessory</t>
        </is>
      </c>
      <c r="J34" s="70" t="inlineStr">
        <is>
          <t>High-control delt work.</t>
        </is>
      </c>
      <c r="K34" s="70" t="inlineStr">
        <is>
          <t>Yes</t>
        </is>
      </c>
      <c r="L34" s="70" t="b">
        <v>0</v>
      </c>
      <c r="M34" s="168" t="n">
        <v>46222.41666666666</v>
      </c>
    </row>
    <row r="35">
      <c r="A35" s="67" t="inlineStr">
        <is>
          <t>EX034</t>
        </is>
      </c>
      <c r="B35" s="70" t="inlineStr">
        <is>
          <t>Dumbbell lateral raise</t>
        </is>
      </c>
      <c r="C35" s="70" t="inlineStr">
        <is>
          <t>Side delts</t>
        </is>
      </c>
      <c r="D35" s="70" t="inlineStr">
        <is>
          <t>Lateral raise</t>
        </is>
      </c>
      <c r="E35" s="70" t="inlineStr">
        <is>
          <t>Dumbbells</t>
        </is>
      </c>
      <c r="F35" s="70" t="inlineStr">
        <is>
          <t>[["Dumbbells"]]</t>
        </is>
      </c>
      <c r="G35" s="70" t="inlineStr">
        <is>
          <t>[]</t>
        </is>
      </c>
      <c r="H35" s="70" t="inlineStr">
        <is>
          <t>Delts</t>
        </is>
      </c>
      <c r="I35" s="70" t="inlineStr">
        <is>
          <t>Substitution</t>
        </is>
      </c>
      <c r="J35" s="70" t="inlineStr">
        <is>
          <t>Use strict reps; avoid swinging.</t>
        </is>
      </c>
      <c r="K35" s="70" t="inlineStr">
        <is>
          <t>Yes</t>
        </is>
      </c>
      <c r="L35" s="70" t="b">
        <v>0</v>
      </c>
      <c r="M35" s="168" t="n">
        <v>46222.41666666666</v>
      </c>
    </row>
    <row r="36">
      <c r="A36" s="67" t="inlineStr">
        <is>
          <t>EX035</t>
        </is>
      </c>
      <c r="B36" s="70" t="inlineStr">
        <is>
          <t>Cable rear-delt fly</t>
        </is>
      </c>
      <c r="C36" s="70" t="inlineStr">
        <is>
          <t>Rear delts</t>
        </is>
      </c>
      <c r="D36" s="70" t="inlineStr">
        <is>
          <t>Rear delt</t>
        </is>
      </c>
      <c r="E36" s="70" t="inlineStr">
        <is>
          <t>Cable station</t>
        </is>
      </c>
      <c r="F36" s="70" t="inlineStr">
        <is>
          <t>[["Cable station"]]</t>
        </is>
      </c>
      <c r="G36" s="70" t="inlineStr">
        <is>
          <t>[]</t>
        </is>
      </c>
      <c r="H36" s="70" t="inlineStr">
        <is>
          <t>Rear delts</t>
        </is>
      </c>
      <c r="I36" s="70" t="inlineStr">
        <is>
          <t>Accessory</t>
        </is>
      </c>
      <c r="J36" s="70" t="inlineStr">
        <is>
          <t>Lead with elbows, not hands.</t>
        </is>
      </c>
      <c r="K36" s="70" t="inlineStr">
        <is>
          <t>Yes</t>
        </is>
      </c>
      <c r="L36" s="70" t="b">
        <v>0</v>
      </c>
      <c r="M36" s="168" t="n">
        <v>46222.41666666666</v>
      </c>
    </row>
    <row r="37">
      <c r="A37" s="67" t="inlineStr">
        <is>
          <t>EX036</t>
        </is>
      </c>
      <c r="B37" s="70" t="inlineStr">
        <is>
          <t>Face pull</t>
        </is>
      </c>
      <c r="C37" s="70" t="inlineStr">
        <is>
          <t>Rear delts / Upper back</t>
        </is>
      </c>
      <c r="D37" s="70" t="inlineStr">
        <is>
          <t>Rear delt / external rotation</t>
        </is>
      </c>
      <c r="E37" s="70" t="inlineStr">
        <is>
          <t>Cable station + Rope cable attachment</t>
        </is>
      </c>
      <c r="F37" s="70" t="inlineStr">
        <is>
          <t>[["Cable station","Rope cable attachment"]]</t>
        </is>
      </c>
      <c r="G37" s="70" t="inlineStr">
        <is>
          <t>[]</t>
        </is>
      </c>
      <c r="H37" s="70" t="inlineStr">
        <is>
          <t>Rear delts</t>
        </is>
      </c>
      <c r="I37" s="70" t="inlineStr">
        <is>
          <t>Substitution</t>
        </is>
      </c>
      <c r="J37" s="70" t="inlineStr">
        <is>
          <t>Good shoulder-health option.</t>
        </is>
      </c>
      <c r="K37" s="70" t="inlineStr">
        <is>
          <t>Yes</t>
        </is>
      </c>
      <c r="L37" s="70" t="b">
        <v>0</v>
      </c>
      <c r="M37" s="168" t="n">
        <v>46222.41666666666</v>
      </c>
    </row>
    <row r="38">
      <c r="A38" s="67" t="inlineStr">
        <is>
          <t>EX037</t>
        </is>
      </c>
      <c r="B38" s="70" t="inlineStr">
        <is>
          <t>Rear-delt cable fly</t>
        </is>
      </c>
      <c r="C38" s="70" t="inlineStr">
        <is>
          <t>Rear delts</t>
        </is>
      </c>
      <c r="D38" s="70" t="inlineStr">
        <is>
          <t>Rear delt</t>
        </is>
      </c>
      <c r="E38" s="70" t="inlineStr">
        <is>
          <t>Cable station</t>
        </is>
      </c>
      <c r="F38" s="70" t="inlineStr">
        <is>
          <t>[["Cable station"]]</t>
        </is>
      </c>
      <c r="G38" s="70" t="inlineStr">
        <is>
          <t>[]</t>
        </is>
      </c>
      <c r="H38" s="70" t="inlineStr">
        <is>
          <t>Rear delts</t>
        </is>
      </c>
      <c r="I38" s="70" t="inlineStr">
        <is>
          <t>Accessory</t>
        </is>
      </c>
      <c r="J38" s="70" t="inlineStr">
        <is>
          <t>Same as cable rear-delt fly.</t>
        </is>
      </c>
      <c r="K38" s="70" t="inlineStr">
        <is>
          <t>Yes</t>
        </is>
      </c>
      <c r="L38" s="70" t="b">
        <v>0</v>
      </c>
      <c r="M38" s="168" t="n">
        <v>46222.41666666666</v>
      </c>
    </row>
    <row r="39">
      <c r="A39" s="67" t="inlineStr">
        <is>
          <t>EX038</t>
        </is>
      </c>
      <c r="B39" s="70" t="inlineStr">
        <is>
          <t>Cable triceps pushdown</t>
        </is>
      </c>
      <c r="C39" s="70" t="inlineStr">
        <is>
          <t>Triceps</t>
        </is>
      </c>
      <c r="D39" s="70" t="inlineStr">
        <is>
          <t>Elbow extension</t>
        </is>
      </c>
      <c r="E39" s="70" t="inlineStr">
        <is>
          <t>Cable station</t>
        </is>
      </c>
      <c r="F39" s="70" t="inlineStr">
        <is>
          <t>[["Cable station"]]</t>
        </is>
      </c>
      <c r="G39" s="70" t="inlineStr">
        <is>
          <t>[]</t>
        </is>
      </c>
      <c r="H39" s="70" t="inlineStr">
        <is>
          <t>Triceps</t>
        </is>
      </c>
      <c r="I39" s="70" t="inlineStr">
        <is>
          <t>Accessory</t>
        </is>
      </c>
      <c r="J39" s="70" t="inlineStr">
        <is>
          <t>Keep upper arm fixed.</t>
        </is>
      </c>
      <c r="K39" s="70" t="inlineStr">
        <is>
          <t>Yes</t>
        </is>
      </c>
      <c r="L39" s="70" t="b">
        <v>0</v>
      </c>
      <c r="M39" s="168" t="n">
        <v>46222.41666666666</v>
      </c>
    </row>
    <row r="40">
      <c r="A40" s="67" t="inlineStr">
        <is>
          <t>EX039</t>
        </is>
      </c>
      <c r="B40" s="70" t="inlineStr">
        <is>
          <t>Overhead cable triceps extension</t>
        </is>
      </c>
      <c r="C40" s="70" t="inlineStr">
        <is>
          <t>Triceps long head</t>
        </is>
      </c>
      <c r="D40" s="70" t="inlineStr">
        <is>
          <t>Elbow extension</t>
        </is>
      </c>
      <c r="E40" s="70" t="inlineStr">
        <is>
          <t>Cable station + Rope cable attachment</t>
        </is>
      </c>
      <c r="F40" s="70" t="inlineStr">
        <is>
          <t>[["Cable station","Rope cable attachment"]]</t>
        </is>
      </c>
      <c r="G40" s="70" t="inlineStr">
        <is>
          <t>[]</t>
        </is>
      </c>
      <c r="H40" s="70" t="inlineStr">
        <is>
          <t>Triceps</t>
        </is>
      </c>
      <c r="I40" s="70" t="inlineStr">
        <is>
          <t>Accessory</t>
        </is>
      </c>
      <c r="J40" s="70" t="inlineStr">
        <is>
          <t>Use pain-free elbow path.</t>
        </is>
      </c>
      <c r="K40" s="70" t="inlineStr">
        <is>
          <t>Yes</t>
        </is>
      </c>
      <c r="L40" s="70" t="b">
        <v>0</v>
      </c>
      <c r="M40" s="168" t="n">
        <v>46222.41666666666</v>
      </c>
    </row>
    <row r="41">
      <c r="A41" s="67" t="inlineStr">
        <is>
          <t>EX040</t>
        </is>
      </c>
      <c r="B41" s="70" t="inlineStr">
        <is>
          <t>Dumbbell skull crusher</t>
        </is>
      </c>
      <c r="C41" s="70" t="inlineStr">
        <is>
          <t>Triceps</t>
        </is>
      </c>
      <c r="D41" s="70" t="inlineStr">
        <is>
          <t>Elbow extension</t>
        </is>
      </c>
      <c r="E41" s="70" t="inlineStr">
        <is>
          <t>Dumbbells</t>
        </is>
      </c>
      <c r="F41" s="70" t="inlineStr">
        <is>
          <t>[["Dumbbells"]]</t>
        </is>
      </c>
      <c r="G41" s="70" t="inlineStr">
        <is>
          <t>[]</t>
        </is>
      </c>
      <c r="H41" s="70" t="inlineStr">
        <is>
          <t>Triceps</t>
        </is>
      </c>
      <c r="I41" s="70" t="inlineStr">
        <is>
          <t>Substitution</t>
        </is>
      </c>
      <c r="J41" s="70" t="inlineStr">
        <is>
          <t>Use light and controlled.</t>
        </is>
      </c>
      <c r="K41" s="70" t="inlineStr">
        <is>
          <t>Maybe</t>
        </is>
      </c>
      <c r="L41" s="70" t="b">
        <v>0</v>
      </c>
      <c r="M41" s="168" t="n">
        <v>46222.41666666666</v>
      </c>
    </row>
    <row r="42">
      <c r="A42" s="67" t="inlineStr">
        <is>
          <t>EX041</t>
        </is>
      </c>
      <c r="B42" s="70" t="inlineStr">
        <is>
          <t>Cable curl</t>
        </is>
      </c>
      <c r="C42" s="70" t="inlineStr">
        <is>
          <t>Biceps</t>
        </is>
      </c>
      <c r="D42" s="70" t="inlineStr">
        <is>
          <t>Elbow flexion</t>
        </is>
      </c>
      <c r="E42" s="70" t="inlineStr">
        <is>
          <t>Cable station</t>
        </is>
      </c>
      <c r="F42" s="70" t="inlineStr">
        <is>
          <t>[["Cable station"]]</t>
        </is>
      </c>
      <c r="G42" s="70" t="inlineStr">
        <is>
          <t>[]</t>
        </is>
      </c>
      <c r="H42" s="70" t="inlineStr">
        <is>
          <t>Biceps</t>
        </is>
      </c>
      <c r="I42" s="70" t="inlineStr">
        <is>
          <t>Accessory</t>
        </is>
      </c>
      <c r="J42" s="70" t="inlineStr">
        <is>
          <t>Constant tension curl.</t>
        </is>
      </c>
      <c r="K42" s="70" t="inlineStr">
        <is>
          <t>Yes</t>
        </is>
      </c>
      <c r="L42" s="70" t="b">
        <v>0</v>
      </c>
      <c r="M42" s="168" t="n">
        <v>46222.41666666666</v>
      </c>
    </row>
    <row r="43">
      <c r="A43" s="67" t="inlineStr">
        <is>
          <t>EX042</t>
        </is>
      </c>
      <c r="B43" s="70" t="inlineStr">
        <is>
          <t>Incline dumbbell curl</t>
        </is>
      </c>
      <c r="C43" s="70" t="inlineStr">
        <is>
          <t>Biceps</t>
        </is>
      </c>
      <c r="D43" s="70" t="inlineStr">
        <is>
          <t>Elbow flexion</t>
        </is>
      </c>
      <c r="E43" s="70" t="inlineStr">
        <is>
          <t>Dumbbells + Adjustable bench</t>
        </is>
      </c>
      <c r="F43" s="70" t="inlineStr">
        <is>
          <t>[["Dumbbells","Adjustable bench"]]</t>
        </is>
      </c>
      <c r="G43" s="70" t="inlineStr">
        <is>
          <t>[]</t>
        </is>
      </c>
      <c r="H43" s="70" t="inlineStr">
        <is>
          <t>Biceps</t>
        </is>
      </c>
      <c r="I43" s="70" t="inlineStr">
        <is>
          <t>Accessory</t>
        </is>
      </c>
      <c r="J43" s="70" t="inlineStr">
        <is>
          <t>Great long-head stretch; do not overextend shoulder.</t>
        </is>
      </c>
      <c r="K43" s="70" t="inlineStr">
        <is>
          <t>Yes</t>
        </is>
      </c>
      <c r="L43" s="70" t="b">
        <v>0</v>
      </c>
      <c r="M43" s="168" t="n">
        <v>46222.41666666666</v>
      </c>
    </row>
    <row r="44">
      <c r="A44" s="67" t="inlineStr">
        <is>
          <t>EX043</t>
        </is>
      </c>
      <c r="B44" s="70" t="inlineStr">
        <is>
          <t>Dumbbell hammer curl</t>
        </is>
      </c>
      <c r="C44" s="70" t="inlineStr">
        <is>
          <t>Biceps / Brachialis</t>
        </is>
      </c>
      <c r="D44" s="70" t="inlineStr">
        <is>
          <t>Elbow flexion</t>
        </is>
      </c>
      <c r="E44" s="70" t="inlineStr">
        <is>
          <t>Dumbbells</t>
        </is>
      </c>
      <c r="F44" s="70" t="inlineStr">
        <is>
          <t>[["Dumbbells"]]</t>
        </is>
      </c>
      <c r="G44" s="70" t="inlineStr">
        <is>
          <t>[]</t>
        </is>
      </c>
      <c r="H44" s="70" t="inlineStr">
        <is>
          <t>Biceps</t>
        </is>
      </c>
      <c r="I44" s="70" t="inlineStr">
        <is>
          <t>Accessory</t>
        </is>
      </c>
      <c r="J44" s="70" t="inlineStr">
        <is>
          <t>Neutral-grip elbow-friendly curl.</t>
        </is>
      </c>
      <c r="K44" s="70" t="inlineStr">
        <is>
          <t>Yes</t>
        </is>
      </c>
      <c r="L44" s="70" t="b">
        <v>0</v>
      </c>
      <c r="M44" s="168" t="n">
        <v>46222.41666666666</v>
      </c>
    </row>
    <row r="45">
      <c r="A45" s="67" t="inlineStr">
        <is>
          <t>EX044</t>
        </is>
      </c>
      <c r="B45" s="70" t="inlineStr">
        <is>
          <t>Ring curl</t>
        </is>
      </c>
      <c r="C45" s="70" t="inlineStr">
        <is>
          <t>Biceps</t>
        </is>
      </c>
      <c r="D45" s="70" t="inlineStr">
        <is>
          <t>Elbow flexion</t>
        </is>
      </c>
      <c r="E45" s="70" t="inlineStr">
        <is>
          <t>Gymnastic rings / suspension trainer</t>
        </is>
      </c>
      <c r="F45" s="70" t="inlineStr">
        <is>
          <t>[["Gymnastic rings / suspension trainer"]]</t>
        </is>
      </c>
      <c r="G45" s="70" t="inlineStr">
        <is>
          <t>[]</t>
        </is>
      </c>
      <c r="H45" s="70" t="inlineStr">
        <is>
          <t>Biceps</t>
        </is>
      </c>
      <c r="I45" s="70" t="inlineStr">
        <is>
          <t>Substitution</t>
        </is>
      </c>
      <c r="J45" s="70" t="inlineStr">
        <is>
          <t>Adjust angle for difficulty.</t>
        </is>
      </c>
      <c r="K45" s="70" t="inlineStr">
        <is>
          <t>Yes</t>
        </is>
      </c>
      <c r="L45" s="70" t="b">
        <v>0</v>
      </c>
      <c r="M45" s="168" t="n">
        <v>46222.41666666666</v>
      </c>
    </row>
    <row r="46">
      <c r="A46" s="67" t="inlineStr">
        <is>
          <t>EX045</t>
        </is>
      </c>
      <c r="B46" s="70" t="inlineStr">
        <is>
          <t>Cable or ring curl</t>
        </is>
      </c>
      <c r="C46" s="70" t="inlineStr">
        <is>
          <t>Biceps</t>
        </is>
      </c>
      <c r="D46" s="70" t="inlineStr">
        <is>
          <t>Elbow flexion</t>
        </is>
      </c>
      <c r="E46" s="70" t="inlineStr">
        <is>
          <t>Cable station OR Gymnastic rings / suspension trainer</t>
        </is>
      </c>
      <c r="F46" s="70" t="inlineStr">
        <is>
          <t>[["Cable station"],["Gymnastic rings / suspension trainer"]]</t>
        </is>
      </c>
      <c r="G46" s="70" t="inlineStr">
        <is>
          <t>[]</t>
        </is>
      </c>
      <c r="H46" s="70" t="inlineStr">
        <is>
          <t>Biceps</t>
        </is>
      </c>
      <c r="I46" s="70" t="inlineStr">
        <is>
          <t>Optional slot</t>
        </is>
      </c>
      <c r="J46" s="70" t="inlineStr">
        <is>
          <t>Choose cable if elbows feel sensitive.</t>
        </is>
      </c>
      <c r="K46" s="70" t="inlineStr">
        <is>
          <t>Yes</t>
        </is>
      </c>
      <c r="L46" s="70" t="b">
        <v>0</v>
      </c>
      <c r="M46" s="168" t="n">
        <v>46222.41666666666</v>
      </c>
    </row>
    <row r="47">
      <c r="A47" s="67" t="inlineStr">
        <is>
          <t>EX046</t>
        </is>
      </c>
      <c r="B47" s="70" t="inlineStr">
        <is>
          <t>Dead bug</t>
        </is>
      </c>
      <c r="C47" s="70" t="inlineStr">
        <is>
          <t>Core</t>
        </is>
      </c>
      <c r="D47" s="70" t="inlineStr">
        <is>
          <t>Anti-extension</t>
        </is>
      </c>
      <c r="E47" s="70" t="inlineStr">
        <is>
          <t>Bodyweight / floor space</t>
        </is>
      </c>
      <c r="F47" s="70" t="inlineStr">
        <is>
          <t>[["Bodyweight / floor space"]]</t>
        </is>
      </c>
      <c r="G47" s="70" t="inlineStr">
        <is>
          <t>[]</t>
        </is>
      </c>
      <c r="H47" s="70" t="inlineStr">
        <is>
          <t>Core</t>
        </is>
      </c>
      <c r="I47" s="70" t="inlineStr">
        <is>
          <t>Accessory</t>
        </is>
      </c>
      <c r="J47" s="70" t="inlineStr">
        <is>
          <t>Control lower back position.</t>
        </is>
      </c>
      <c r="K47" s="70" t="inlineStr">
        <is>
          <t>Yes</t>
        </is>
      </c>
      <c r="L47" s="70" t="b">
        <v>0</v>
      </c>
      <c r="M47" s="168" t="n">
        <v>46222.41666666666</v>
      </c>
    </row>
    <row r="48">
      <c r="A48" s="67" t="inlineStr">
        <is>
          <t>EX047</t>
        </is>
      </c>
      <c r="B48" s="70" t="inlineStr">
        <is>
          <t>Pallof press</t>
        </is>
      </c>
      <c r="C48" s="70" t="inlineStr">
        <is>
          <t>Core</t>
        </is>
      </c>
      <c r="D48" s="70" t="inlineStr">
        <is>
          <t>Anti-rotation</t>
        </is>
      </c>
      <c r="E48" s="70" t="inlineStr">
        <is>
          <t>Cable station OR Resistance bands / tubes</t>
        </is>
      </c>
      <c r="F48" s="70" t="inlineStr">
        <is>
          <t>[["Cable station"],["Resistance bands / tubes"]]</t>
        </is>
      </c>
      <c r="G48" s="70" t="inlineStr">
        <is>
          <t>[]</t>
        </is>
      </c>
      <c r="H48" s="70" t="inlineStr">
        <is>
          <t>Core</t>
        </is>
      </c>
      <c r="I48" s="70" t="inlineStr">
        <is>
          <t>Accessory</t>
        </is>
      </c>
      <c r="J48" s="70" t="inlineStr">
        <is>
          <t>Pause each rep.</t>
        </is>
      </c>
      <c r="K48" s="70" t="inlineStr">
        <is>
          <t>Yes</t>
        </is>
      </c>
      <c r="L48" s="70" t="b">
        <v>0</v>
      </c>
      <c r="M48" s="168" t="n">
        <v>46222.41666666666</v>
      </c>
    </row>
    <row r="49">
      <c r="A49" s="67" t="inlineStr">
        <is>
          <t>EX048</t>
        </is>
      </c>
      <c r="B49" s="70" t="inlineStr">
        <is>
          <t>Ab wheel</t>
        </is>
      </c>
      <c r="C49" s="70" t="inlineStr">
        <is>
          <t>Core</t>
        </is>
      </c>
      <c r="D49" s="70" t="inlineStr">
        <is>
          <t>Anti-extension</t>
        </is>
      </c>
      <c r="E49" s="70" t="inlineStr">
        <is>
          <t>Ab wheel</t>
        </is>
      </c>
      <c r="F49" s="70" t="inlineStr">
        <is>
          <t>[["Ab wheel"]]</t>
        </is>
      </c>
      <c r="G49" s="70" t="inlineStr">
        <is>
          <t>[]</t>
        </is>
      </c>
      <c r="H49" s="70" t="inlineStr">
        <is>
          <t>Core</t>
        </is>
      </c>
      <c r="I49" s="70" t="inlineStr">
        <is>
          <t>Accessory</t>
        </is>
      </c>
      <c r="J49" s="70" t="inlineStr">
        <is>
          <t>Use only if lower back stays neutral.</t>
        </is>
      </c>
      <c r="K49" s="70" t="inlineStr">
        <is>
          <t>No if fatigued</t>
        </is>
      </c>
      <c r="L49" s="70" t="b">
        <v>0</v>
      </c>
      <c r="M49" s="168" t="n">
        <v>46222.41666666666</v>
      </c>
    </row>
    <row r="50">
      <c r="A50" s="67" t="inlineStr">
        <is>
          <t>EX049</t>
        </is>
      </c>
      <c r="B50" s="70" t="inlineStr">
        <is>
          <t>Cable crunch</t>
        </is>
      </c>
      <c r="C50" s="70" t="inlineStr">
        <is>
          <t>Abs</t>
        </is>
      </c>
      <c r="D50" s="70" t="inlineStr">
        <is>
          <t>Spinal flexion</t>
        </is>
      </c>
      <c r="E50" s="70" t="inlineStr">
        <is>
          <t>Cable station</t>
        </is>
      </c>
      <c r="F50" s="70" t="inlineStr">
        <is>
          <t>[["Cable station"]]</t>
        </is>
      </c>
      <c r="G50" s="70" t="inlineStr">
        <is>
          <t>[]</t>
        </is>
      </c>
      <c r="H50" s="70" t="inlineStr">
        <is>
          <t>Core</t>
        </is>
      </c>
      <c r="I50" s="70" t="inlineStr">
        <is>
          <t>Substitution</t>
        </is>
      </c>
      <c r="J50" s="70" t="inlineStr">
        <is>
          <t>Controlled range; avoid yanking.</t>
        </is>
      </c>
      <c r="K50" s="70" t="inlineStr">
        <is>
          <t>Yes</t>
        </is>
      </c>
      <c r="L50" s="70" t="b">
        <v>0</v>
      </c>
      <c r="M50" s="168" t="n">
        <v>46222.41666666666</v>
      </c>
    </row>
    <row r="51">
      <c r="A51" s="67" t="inlineStr">
        <is>
          <t>EX050</t>
        </is>
      </c>
      <c r="B51" s="70" t="inlineStr">
        <is>
          <t>Brisk walking</t>
        </is>
      </c>
      <c r="C51" s="70" t="inlineStr">
        <is>
          <t>Cardio / Recovery</t>
        </is>
      </c>
      <c r="D51" s="70" t="inlineStr">
        <is>
          <t>Aerobic</t>
        </is>
      </c>
      <c r="E51" s="70" t="inlineStr">
        <is>
          <t>Bodyweight / floor space OR Treadmill</t>
        </is>
      </c>
      <c r="F51" s="70" t="inlineStr">
        <is>
          <t>[["Bodyweight / floor space"],["Treadmill"]]</t>
        </is>
      </c>
      <c r="G51" s="70" t="inlineStr">
        <is>
          <t>["Weighted vest"]</t>
        </is>
      </c>
      <c r="H51" s="70" t="inlineStr">
        <is>
          <t>Cardio</t>
        </is>
      </c>
      <c r="I51" s="70" t="inlineStr">
        <is>
          <t>Recovery</t>
        </is>
      </c>
      <c r="J51" s="70" t="inlineStr">
        <is>
          <t>Easy pace where you can speak in sentences.</t>
        </is>
      </c>
      <c r="K51" s="70" t="inlineStr">
        <is>
          <t>Yes</t>
        </is>
      </c>
      <c r="L51" s="70" t="b">
        <v>0</v>
      </c>
      <c r="M51" s="168" t="n">
        <v>46222.41666666666</v>
      </c>
    </row>
    <row r="52">
      <c r="A52" s="67" t="inlineStr">
        <is>
          <t>EX051</t>
        </is>
      </c>
      <c r="B52" s="70" t="inlineStr">
        <is>
          <t>Easy bike</t>
        </is>
      </c>
      <c r="C52" s="70" t="inlineStr">
        <is>
          <t>Cardio / Recovery</t>
        </is>
      </c>
      <c r="D52" s="70" t="inlineStr">
        <is>
          <t>Aerobic</t>
        </is>
      </c>
      <c r="E52" s="70" t="inlineStr">
        <is>
          <t>Exercise bike</t>
        </is>
      </c>
      <c r="F52" s="70" t="inlineStr">
        <is>
          <t>[["Exercise bike"]]</t>
        </is>
      </c>
      <c r="G52" s="70" t="inlineStr">
        <is>
          <t>[]</t>
        </is>
      </c>
      <c r="H52" s="70" t="inlineStr">
        <is>
          <t>Cardio</t>
        </is>
      </c>
      <c r="I52" s="70" t="inlineStr">
        <is>
          <t>Recovery</t>
        </is>
      </c>
      <c r="J52" s="70" t="inlineStr">
        <is>
          <t>Low impact option if available.</t>
        </is>
      </c>
      <c r="K52" s="70" t="inlineStr">
        <is>
          <t>Yes</t>
        </is>
      </c>
      <c r="L52" s="70" t="b">
        <v>0</v>
      </c>
      <c r="M52" s="168" t="n">
        <v>46222.41666666666</v>
      </c>
    </row>
    <row r="53">
      <c r="A53" s="67" t="inlineStr">
        <is>
          <t>EX052</t>
        </is>
      </c>
      <c r="B53" s="70" t="inlineStr">
        <is>
          <t>Mobility flow</t>
        </is>
      </c>
      <c r="C53" s="70" t="inlineStr">
        <is>
          <t>Recovery</t>
        </is>
      </c>
      <c r="D53" s="70" t="inlineStr">
        <is>
          <t>Mobility</t>
        </is>
      </c>
      <c r="E53" s="70" t="inlineStr">
        <is>
          <t>Bodyweight / floor space</t>
        </is>
      </c>
      <c r="F53" s="70" t="inlineStr">
        <is>
          <t>[["Bodyweight / floor space"]]</t>
        </is>
      </c>
      <c r="G53" s="70" t="inlineStr">
        <is>
          <t>[]</t>
        </is>
      </c>
      <c r="H53" s="70" t="inlineStr">
        <is>
          <t>Recovery</t>
        </is>
      </c>
      <c r="I53" s="70" t="inlineStr">
        <is>
          <t>Recovery</t>
        </is>
      </c>
      <c r="J53" s="70" t="inlineStr">
        <is>
          <t>5-10 minutes hips, t-spine, ankles.</t>
        </is>
      </c>
      <c r="K53" s="70" t="inlineStr">
        <is>
          <t>Yes</t>
        </is>
      </c>
      <c r="L53" s="70" t="b">
        <v>0</v>
      </c>
      <c r="M53" s="168" t="n">
        <v>46222.41666666666</v>
      </c>
    </row>
    <row r="54">
      <c r="A54" s="67" t="inlineStr">
        <is>
          <t>EX053</t>
        </is>
      </c>
      <c r="B54" s="70" t="inlineStr">
        <is>
          <t>Push-up</t>
        </is>
      </c>
      <c r="C54" s="70" t="inlineStr">
        <is>
          <t>Chest / Triceps</t>
        </is>
      </c>
      <c r="D54" s="70" t="inlineStr">
        <is>
          <t>Horizontal press</t>
        </is>
      </c>
      <c r="E54" s="70" t="inlineStr">
        <is>
          <t>Bodyweight / floor space</t>
        </is>
      </c>
      <c r="F54" s="70" t="inlineStr">
        <is>
          <t>[["Bodyweight / floor space"]]</t>
        </is>
      </c>
      <c r="G54" s="70" t="inlineStr">
        <is>
          <t>["Weighted vest","Resistance bands / tubes"]</t>
        </is>
      </c>
      <c r="H54" s="70" t="inlineStr">
        <is>
          <t>Horizontal press</t>
        </is>
      </c>
      <c r="I54" s="70" t="inlineStr">
        <is>
          <t>Substitution</t>
        </is>
      </c>
      <c r="J54" s="70" t="inlineStr">
        <is>
          <t>Use handles or dumbbells as grips if wrists prefer neutral.</t>
        </is>
      </c>
      <c r="K54" s="70" t="inlineStr">
        <is>
          <t>Yes</t>
        </is>
      </c>
      <c r="L54" s="70" t="b">
        <v>0</v>
      </c>
      <c r="M54" s="168" t="n">
        <v>46222.65625</v>
      </c>
    </row>
    <row r="55">
      <c r="A55" s="67" t="inlineStr">
        <is>
          <t>EX054</t>
        </is>
      </c>
      <c r="B55" s="70" t="inlineStr">
        <is>
          <t>Feet-elevated push-up</t>
        </is>
      </c>
      <c r="C55" s="70" t="inlineStr">
        <is>
          <t>Upper chest / Triceps</t>
        </is>
      </c>
      <c r="D55" s="70" t="inlineStr">
        <is>
          <t>Incline press</t>
        </is>
      </c>
      <c r="E55" s="70" t="inlineStr">
        <is>
          <t>Bodyweight / floor space + Bench or box</t>
        </is>
      </c>
      <c r="F55" s="70" t="inlineStr">
        <is>
          <t>[["Bodyweight / floor space","Bench or box"]]</t>
        </is>
      </c>
      <c r="G55" s="70" t="inlineStr">
        <is>
          <t>["Weighted vest"]</t>
        </is>
      </c>
      <c r="H55" s="70" t="inlineStr">
        <is>
          <t>Incline press</t>
        </is>
      </c>
      <c r="I55" s="70" t="inlineStr">
        <is>
          <t>Substitution</t>
        </is>
      </c>
      <c r="J55" s="70" t="str"/>
      <c r="K55" s="70" t="inlineStr">
        <is>
          <t>Yes</t>
        </is>
      </c>
      <c r="L55" s="70" t="b">
        <v>0</v>
      </c>
      <c r="M55" s="168" t="n">
        <v>46222.65625</v>
      </c>
    </row>
    <row r="56">
      <c r="A56" s="67" t="inlineStr">
        <is>
          <t>EX055</t>
        </is>
      </c>
      <c r="B56" s="70" t="inlineStr">
        <is>
          <t>Pike push-up</t>
        </is>
      </c>
      <c r="C56" s="70" t="inlineStr">
        <is>
          <t>Delts / Triceps</t>
        </is>
      </c>
      <c r="D56" s="70" t="inlineStr">
        <is>
          <t>Vertical press</t>
        </is>
      </c>
      <c r="E56" s="70" t="inlineStr">
        <is>
          <t>Bodyweight / floor space</t>
        </is>
      </c>
      <c r="F56" s="70" t="inlineStr">
        <is>
          <t>[["Bodyweight / floor space"]]</t>
        </is>
      </c>
      <c r="G56" s="70" t="inlineStr">
        <is>
          <t>["Bench or box"]</t>
        </is>
      </c>
      <c r="H56" s="70" t="inlineStr">
        <is>
          <t>Vertical press</t>
        </is>
      </c>
      <c r="I56" s="70" t="inlineStr">
        <is>
          <t>Substitution</t>
        </is>
      </c>
      <c r="J56" s="70" t="str"/>
      <c r="K56" s="70" t="inlineStr">
        <is>
          <t>Yes</t>
        </is>
      </c>
      <c r="L56" s="70" t="b">
        <v>0</v>
      </c>
      <c r="M56" s="168" t="n">
        <v>46222.65625</v>
      </c>
    </row>
    <row r="57">
      <c r="A57" s="67" t="inlineStr">
        <is>
          <t>EX056</t>
        </is>
      </c>
      <c r="B57" s="70" t="inlineStr">
        <is>
          <t>Parallel-bar dip</t>
        </is>
      </c>
      <c r="C57" s="70" t="inlineStr">
        <is>
          <t>Chest / Triceps</t>
        </is>
      </c>
      <c r="D57" s="70" t="inlineStr">
        <is>
          <t>Vertical dip</t>
        </is>
      </c>
      <c r="E57" s="70" t="inlineStr">
        <is>
          <t>Dip station / parallel bars</t>
        </is>
      </c>
      <c r="F57" s="70" t="inlineStr">
        <is>
          <t>[["Dip station / parallel bars"]]</t>
        </is>
      </c>
      <c r="G57" s="70" t="inlineStr">
        <is>
          <t>["Dip belt / loading belt","Resistance bands / tubes"]</t>
        </is>
      </c>
      <c r="H57" s="70" t="inlineStr">
        <is>
          <t>Horizontal press</t>
        </is>
      </c>
      <c r="I57" s="70" t="inlineStr">
        <is>
          <t>Substitution</t>
        </is>
      </c>
      <c r="J57" s="70" t="str"/>
      <c r="K57" s="70" t="inlineStr">
        <is>
          <t>Yes</t>
        </is>
      </c>
      <c r="L57" s="70" t="b">
        <v>0</v>
      </c>
      <c r="M57" s="168" t="n">
        <v>46222.65625</v>
      </c>
    </row>
    <row r="58">
      <c r="A58" s="67" t="inlineStr">
        <is>
          <t>EX057</t>
        </is>
      </c>
      <c r="B58" s="70" t="inlineStr">
        <is>
          <t>Band-assisted dip</t>
        </is>
      </c>
      <c r="C58" s="70" t="inlineStr">
        <is>
          <t>Chest / Triceps</t>
        </is>
      </c>
      <c r="D58" s="70" t="inlineStr">
        <is>
          <t>Vertical dip</t>
        </is>
      </c>
      <c r="E58" s="70" t="inlineStr">
        <is>
          <t>Dip station / parallel bars + Resistance bands / tubes</t>
        </is>
      </c>
      <c r="F58" s="70" t="inlineStr">
        <is>
          <t>[["Dip station / parallel bars","Resistance bands / tubes"]]</t>
        </is>
      </c>
      <c r="G58" s="70" t="inlineStr">
        <is>
          <t>[]</t>
        </is>
      </c>
      <c r="H58" s="70" t="inlineStr">
        <is>
          <t>Horizontal press</t>
        </is>
      </c>
      <c r="I58" s="70" t="inlineStr">
        <is>
          <t>Substitution</t>
        </is>
      </c>
      <c r="J58" s="70" t="str"/>
      <c r="K58" s="70" t="inlineStr">
        <is>
          <t>Yes</t>
        </is>
      </c>
      <c r="L58" s="70" t="b">
        <v>0</v>
      </c>
      <c r="M58" s="168" t="n">
        <v>46222.65625</v>
      </c>
    </row>
    <row r="59">
      <c r="A59" s="67" t="inlineStr">
        <is>
          <t>EX058</t>
        </is>
      </c>
      <c r="B59" s="70" t="inlineStr">
        <is>
          <t>Low-bar back squat</t>
        </is>
      </c>
      <c r="C59" s="70" t="inlineStr">
        <is>
          <t>Quads / Glutes</t>
        </is>
      </c>
      <c r="D59" s="70" t="inlineStr">
        <is>
          <t>Squat</t>
        </is>
      </c>
      <c r="E59" s="70" t="inlineStr">
        <is>
          <t>Power rack / squat stands + Barbell + plates</t>
        </is>
      </c>
      <c r="F59" s="70" t="inlineStr">
        <is>
          <t>[["Power rack / squat stands","Barbell + plates"]]</t>
        </is>
      </c>
      <c r="G59" s="70" t="inlineStr">
        <is>
          <t>[]</t>
        </is>
      </c>
      <c r="H59" s="70" t="inlineStr">
        <is>
          <t>Squat</t>
        </is>
      </c>
      <c r="I59" s="70" t="inlineStr">
        <is>
          <t>Main lift</t>
        </is>
      </c>
      <c r="J59" s="70" t="inlineStr">
        <is>
          <t>Use only if shoulder position and technique are comfortable.</t>
        </is>
      </c>
      <c r="K59" s="70" t="inlineStr">
        <is>
          <t>Yes</t>
        </is>
      </c>
      <c r="L59" s="70" t="b">
        <v>0</v>
      </c>
      <c r="M59" s="168" t="n">
        <v>46222.65625</v>
      </c>
    </row>
    <row r="60">
      <c r="A60" s="67" t="inlineStr">
        <is>
          <t>EX059</t>
        </is>
      </c>
      <c r="B60" s="70" t="inlineStr">
        <is>
          <t>Safety-bar squat</t>
        </is>
      </c>
      <c r="C60" s="70" t="inlineStr">
        <is>
          <t>Quads / Glutes</t>
        </is>
      </c>
      <c r="D60" s="70" t="inlineStr">
        <is>
          <t>Squat</t>
        </is>
      </c>
      <c r="E60" s="70" t="inlineStr">
        <is>
          <t>Power rack / squat stands + Safety squat bar</t>
        </is>
      </c>
      <c r="F60" s="70" t="inlineStr">
        <is>
          <t>[["Power rack / squat stands","Safety squat bar"]]</t>
        </is>
      </c>
      <c r="G60" s="70" t="inlineStr">
        <is>
          <t>[]</t>
        </is>
      </c>
      <c r="H60" s="70" t="inlineStr">
        <is>
          <t>Squat</t>
        </is>
      </c>
      <c r="I60" s="70" t="inlineStr">
        <is>
          <t>Main lift</t>
        </is>
      </c>
      <c r="J60" s="70" t="inlineStr">
        <is>
          <t>Often easier on shoulders and upper back.</t>
        </is>
      </c>
      <c r="K60" s="70" t="inlineStr">
        <is>
          <t>Yes</t>
        </is>
      </c>
      <c r="L60" s="70" t="b">
        <v>0</v>
      </c>
      <c r="M60" s="168" t="n">
        <v>46222.65625</v>
      </c>
    </row>
    <row r="61">
      <c r="A61" s="67" t="inlineStr">
        <is>
          <t>EX060</t>
        </is>
      </c>
      <c r="B61" s="70" t="inlineStr">
        <is>
          <t>Smith-machine squat</t>
        </is>
      </c>
      <c r="C61" s="70" t="inlineStr">
        <is>
          <t>Quads / Glutes</t>
        </is>
      </c>
      <c r="D61" s="70" t="inlineStr">
        <is>
          <t>Squat</t>
        </is>
      </c>
      <c r="E61" s="70" t="inlineStr">
        <is>
          <t>Smith machine</t>
        </is>
      </c>
      <c r="F61" s="70" t="inlineStr">
        <is>
          <t>[["Smith machine"]]</t>
        </is>
      </c>
      <c r="G61" s="70" t="inlineStr">
        <is>
          <t>[]</t>
        </is>
      </c>
      <c r="H61" s="70" t="inlineStr">
        <is>
          <t>Squat</t>
        </is>
      </c>
      <c r="I61" s="70" t="inlineStr">
        <is>
          <t>Main lift</t>
        </is>
      </c>
      <c r="J61" s="70" t="inlineStr">
        <is>
          <t>Choose a foot position that keeps the movement comfortable.</t>
        </is>
      </c>
      <c r="K61" s="70" t="inlineStr">
        <is>
          <t>Yes</t>
        </is>
      </c>
      <c r="L61" s="70" t="b">
        <v>0</v>
      </c>
      <c r="M61" s="168" t="n">
        <v>46222.65625</v>
      </c>
    </row>
    <row r="62">
      <c r="A62" s="67" t="inlineStr">
        <is>
          <t>EX061</t>
        </is>
      </c>
      <c r="B62" s="70" t="inlineStr">
        <is>
          <t>Landmine squat</t>
        </is>
      </c>
      <c r="C62" s="70" t="inlineStr">
        <is>
          <t>Quads / Glutes</t>
        </is>
      </c>
      <c r="D62" s="70" t="inlineStr">
        <is>
          <t>Squat</t>
        </is>
      </c>
      <c r="E62" s="70" t="inlineStr">
        <is>
          <t>Barbell + plates + Landmine attachment</t>
        </is>
      </c>
      <c r="F62" s="70" t="inlineStr">
        <is>
          <t>[["Barbell + plates","Landmine attachment"]]</t>
        </is>
      </c>
      <c r="G62" s="70" t="inlineStr">
        <is>
          <t>[]</t>
        </is>
      </c>
      <c r="H62" s="70" t="inlineStr">
        <is>
          <t>Squat</t>
        </is>
      </c>
      <c r="I62" s="70" t="inlineStr">
        <is>
          <t>Substitution</t>
        </is>
      </c>
      <c r="J62" s="70" t="inlineStr">
        <is>
          <t>Stable front-loaded squat option.</t>
        </is>
      </c>
      <c r="K62" s="70" t="inlineStr">
        <is>
          <t>Yes</t>
        </is>
      </c>
      <c r="L62" s="70" t="b">
        <v>0</v>
      </c>
      <c r="M62" s="168" t="n">
        <v>46222.65625</v>
      </c>
    </row>
    <row r="63">
      <c r="A63" s="67" t="inlineStr">
        <is>
          <t>EX062</t>
        </is>
      </c>
      <c r="B63" s="70" t="inlineStr">
        <is>
          <t>Leg press</t>
        </is>
      </c>
      <c r="C63" s="70" t="inlineStr">
        <is>
          <t>Quads / Glutes</t>
        </is>
      </c>
      <c r="D63" s="70" t="inlineStr">
        <is>
          <t>Squat</t>
        </is>
      </c>
      <c r="E63" s="70" t="inlineStr">
        <is>
          <t>Leg press / hack squat</t>
        </is>
      </c>
      <c r="F63" s="70" t="inlineStr">
        <is>
          <t>[["Leg press / hack squat"]]</t>
        </is>
      </c>
      <c r="G63" s="70" t="inlineStr">
        <is>
          <t>[]</t>
        </is>
      </c>
      <c r="H63" s="70" t="inlineStr">
        <is>
          <t>Squat</t>
        </is>
      </c>
      <c r="I63" s="70" t="inlineStr">
        <is>
          <t>Main lift</t>
        </is>
      </c>
      <c r="J63" s="70" t="inlineStr">
        <is>
          <t>Use controlled depth and avoid pelvis rolling.</t>
        </is>
      </c>
      <c r="K63" s="70" t="inlineStr">
        <is>
          <t>Yes</t>
        </is>
      </c>
      <c r="L63" s="70" t="b">
        <v>0</v>
      </c>
      <c r="M63" s="168" t="n">
        <v>46222.65625</v>
      </c>
    </row>
    <row r="64">
      <c r="A64" s="67" t="inlineStr">
        <is>
          <t>EX063</t>
        </is>
      </c>
      <c r="B64" s="70" t="inlineStr">
        <is>
          <t>Hack squat</t>
        </is>
      </c>
      <c r="C64" s="70" t="inlineStr">
        <is>
          <t>Quads / Glutes</t>
        </is>
      </c>
      <c r="D64" s="70" t="inlineStr">
        <is>
          <t>Squat</t>
        </is>
      </c>
      <c r="E64" s="70" t="inlineStr">
        <is>
          <t>Leg press / hack squat</t>
        </is>
      </c>
      <c r="F64" s="70" t="inlineStr">
        <is>
          <t>[["Leg press / hack squat"]]</t>
        </is>
      </c>
      <c r="G64" s="70" t="inlineStr">
        <is>
          <t>[]</t>
        </is>
      </c>
      <c r="H64" s="70" t="inlineStr">
        <is>
          <t>Squat</t>
        </is>
      </c>
      <c r="I64" s="70" t="inlineStr">
        <is>
          <t>Main lift</t>
        </is>
      </c>
      <c r="J64" s="70" t="inlineStr">
        <is>
          <t>Quad-biased machine squat.</t>
        </is>
      </c>
      <c r="K64" s="70" t="inlineStr">
        <is>
          <t>Yes</t>
        </is>
      </c>
      <c r="L64" s="70" t="b">
        <v>0</v>
      </c>
      <c r="M64" s="168" t="n">
        <v>46222.65625</v>
      </c>
    </row>
    <row r="65">
      <c r="A65" s="67" t="inlineStr">
        <is>
          <t>EX064</t>
        </is>
      </c>
      <c r="B65" s="70" t="inlineStr">
        <is>
          <t>Leg extension</t>
        </is>
      </c>
      <c r="C65" s="70" t="inlineStr">
        <is>
          <t>Quads</t>
        </is>
      </c>
      <c r="D65" s="70" t="inlineStr">
        <is>
          <t>Knee extension</t>
        </is>
      </c>
      <c r="E65" s="70" t="inlineStr">
        <is>
          <t>Leg extension machine</t>
        </is>
      </c>
      <c r="F65" s="70" t="inlineStr">
        <is>
          <t>[["Leg extension machine"]]</t>
        </is>
      </c>
      <c r="G65" s="70" t="inlineStr">
        <is>
          <t>[]</t>
        </is>
      </c>
      <c r="H65" s="70" t="inlineStr">
        <is>
          <t>Quads</t>
        </is>
      </c>
      <c r="I65" s="70" t="inlineStr">
        <is>
          <t>Isolation</t>
        </is>
      </c>
      <c r="J65" s="70" t="inlineStr">
        <is>
          <t>Control the top and lower without bouncing.</t>
        </is>
      </c>
      <c r="K65" s="70" t="inlineStr">
        <is>
          <t>Maybe</t>
        </is>
      </c>
      <c r="L65" s="70" t="b">
        <v>0</v>
      </c>
      <c r="M65" s="168" t="n">
        <v>46222.65625</v>
      </c>
    </row>
    <row r="66">
      <c r="A66" s="67" t="inlineStr">
        <is>
          <t>EX065</t>
        </is>
      </c>
      <c r="B66" s="70" t="inlineStr">
        <is>
          <t>Step-up</t>
        </is>
      </c>
      <c r="C66" s="70" t="inlineStr">
        <is>
          <t>Quads / Glutes</t>
        </is>
      </c>
      <c r="D66" s="70" t="inlineStr">
        <is>
          <t>Single-leg</t>
        </is>
      </c>
      <c r="E66" s="70" t="inlineStr">
        <is>
          <t>Bench or box</t>
        </is>
      </c>
      <c r="F66" s="70" t="inlineStr">
        <is>
          <t>[["Bench or box"]]</t>
        </is>
      </c>
      <c r="G66" s="70" t="inlineStr">
        <is>
          <t>["Dumbbells","Kettlebells"]</t>
        </is>
      </c>
      <c r="H66" s="70" t="inlineStr">
        <is>
          <t>Single-leg</t>
        </is>
      </c>
      <c r="I66" s="70" t="inlineStr">
        <is>
          <t>Substitution</t>
        </is>
      </c>
      <c r="J66" s="70" t="str"/>
      <c r="K66" s="70" t="inlineStr">
        <is>
          <t>Yes</t>
        </is>
      </c>
      <c r="L66" s="70" t="b">
        <v>0</v>
      </c>
      <c r="M66" s="168" t="n">
        <v>46222.65625</v>
      </c>
    </row>
    <row r="67">
      <c r="A67" s="67" t="inlineStr">
        <is>
          <t>EX066</t>
        </is>
      </c>
      <c r="B67" s="70" t="inlineStr">
        <is>
          <t>Walking lunge</t>
        </is>
      </c>
      <c r="C67" s="70" t="inlineStr">
        <is>
          <t>Quads / Glutes</t>
        </is>
      </c>
      <c r="D67" s="70" t="inlineStr">
        <is>
          <t>Single-leg</t>
        </is>
      </c>
      <c r="E67" s="70" t="inlineStr">
        <is>
          <t>Bodyweight / floor space</t>
        </is>
      </c>
      <c r="F67" s="70" t="inlineStr">
        <is>
          <t>[["Bodyweight / floor space"]]</t>
        </is>
      </c>
      <c r="G67" s="70" t="inlineStr">
        <is>
          <t>["Dumbbells","Kettlebells","Weighted vest"]</t>
        </is>
      </c>
      <c r="H67" s="70" t="inlineStr">
        <is>
          <t>Single-leg</t>
        </is>
      </c>
      <c r="I67" s="70" t="inlineStr">
        <is>
          <t>Substitution</t>
        </is>
      </c>
      <c r="J67" s="70" t="str"/>
      <c r="K67" s="70" t="inlineStr">
        <is>
          <t>Yes</t>
        </is>
      </c>
      <c r="L67" s="70" t="b">
        <v>0</v>
      </c>
      <c r="M67" s="168" t="n">
        <v>46222.65625</v>
      </c>
    </row>
    <row r="68">
      <c r="A68" s="67" t="inlineStr">
        <is>
          <t>EX067</t>
        </is>
      </c>
      <c r="B68" s="70" t="inlineStr">
        <is>
          <t>Bodyweight split squat</t>
        </is>
      </c>
      <c r="C68" s="70" t="inlineStr">
        <is>
          <t>Quads / Glutes</t>
        </is>
      </c>
      <c r="D68" s="70" t="inlineStr">
        <is>
          <t>Single-leg</t>
        </is>
      </c>
      <c r="E68" s="70" t="inlineStr">
        <is>
          <t>Bodyweight / floor space</t>
        </is>
      </c>
      <c r="F68" s="70" t="inlineStr">
        <is>
          <t>[["Bodyweight / floor space"]]</t>
        </is>
      </c>
      <c r="G68" s="70" t="inlineStr">
        <is>
          <t>["Dumbbells","Weighted vest"]</t>
        </is>
      </c>
      <c r="H68" s="70" t="inlineStr">
        <is>
          <t>Single-leg</t>
        </is>
      </c>
      <c r="I68" s="70" t="inlineStr">
        <is>
          <t>Substitution</t>
        </is>
      </c>
      <c r="J68" s="70" t="str"/>
      <c r="K68" s="70" t="inlineStr">
        <is>
          <t>Yes</t>
        </is>
      </c>
      <c r="L68" s="70" t="b">
        <v>0</v>
      </c>
      <c r="M68" s="168" t="n">
        <v>46222.65625</v>
      </c>
    </row>
    <row r="69">
      <c r="A69" s="67" t="inlineStr">
        <is>
          <t>EX068</t>
        </is>
      </c>
      <c r="B69" s="70" t="inlineStr">
        <is>
          <t>Conventional deadlift</t>
        </is>
      </c>
      <c r="C69" s="70" t="inlineStr">
        <is>
          <t>Hamstrings / Glutes / Back</t>
        </is>
      </c>
      <c r="D69" s="70" t="inlineStr">
        <is>
          <t>Hip hinge</t>
        </is>
      </c>
      <c r="E69" s="70" t="inlineStr">
        <is>
          <t>Barbell + plates</t>
        </is>
      </c>
      <c r="F69" s="70" t="inlineStr">
        <is>
          <t>[["Barbell + plates"]]</t>
        </is>
      </c>
      <c r="G69" s="70" t="inlineStr">
        <is>
          <t>[]</t>
        </is>
      </c>
      <c r="H69" s="70" t="inlineStr">
        <is>
          <t>Hip hinge</t>
        </is>
      </c>
      <c r="I69" s="70" t="inlineStr">
        <is>
          <t>Main lift</t>
        </is>
      </c>
      <c r="J69" s="70" t="inlineStr">
        <is>
          <t>Use only when technique and recovery support it.</t>
        </is>
      </c>
      <c r="K69" s="70" t="inlineStr">
        <is>
          <t>Maybe</t>
        </is>
      </c>
      <c r="L69" s="70" t="b">
        <v>0</v>
      </c>
      <c r="M69" s="168" t="n">
        <v>46222.65625</v>
      </c>
    </row>
    <row r="70">
      <c r="A70" s="67" t="inlineStr">
        <is>
          <t>EX069</t>
        </is>
      </c>
      <c r="B70" s="70" t="inlineStr">
        <is>
          <t>Sumo deadlift</t>
        </is>
      </c>
      <c r="C70" s="70" t="inlineStr">
        <is>
          <t>Glutes / Hamstrings / Adductors</t>
        </is>
      </c>
      <c r="D70" s="70" t="inlineStr">
        <is>
          <t>Hip hinge</t>
        </is>
      </c>
      <c r="E70" s="70" t="inlineStr">
        <is>
          <t>Barbell + plates</t>
        </is>
      </c>
      <c r="F70" s="70" t="inlineStr">
        <is>
          <t>[["Barbell + plates"]]</t>
        </is>
      </c>
      <c r="G70" s="70" t="inlineStr">
        <is>
          <t>[]</t>
        </is>
      </c>
      <c r="H70" s="70" t="inlineStr">
        <is>
          <t>Hip hinge</t>
        </is>
      </c>
      <c r="I70" s="70" t="inlineStr">
        <is>
          <t>Main lift</t>
        </is>
      </c>
      <c r="J70" s="70" t="inlineStr">
        <is>
          <t>Choose stance based on comfort and proportions.</t>
        </is>
      </c>
      <c r="K70" s="70" t="inlineStr">
        <is>
          <t>Maybe</t>
        </is>
      </c>
      <c r="L70" s="70" t="b">
        <v>0</v>
      </c>
      <c r="M70" s="168" t="n">
        <v>46222.65625</v>
      </c>
    </row>
    <row r="71">
      <c r="A71" s="67" t="inlineStr">
        <is>
          <t>EX070</t>
        </is>
      </c>
      <c r="B71" s="70" t="inlineStr">
        <is>
          <t>Trap-bar deadlift</t>
        </is>
      </c>
      <c r="C71" s="70" t="inlineStr">
        <is>
          <t>Quads / Glutes / Hamstrings</t>
        </is>
      </c>
      <c r="D71" s="70" t="inlineStr">
        <is>
          <t>Hip hinge</t>
        </is>
      </c>
      <c r="E71" s="70" t="inlineStr">
        <is>
          <t>Trap / hex bar + Barbell plates</t>
        </is>
      </c>
      <c r="F71" s="70" t="inlineStr">
        <is>
          <t>[["Trap / hex bar","Barbell plates"]]</t>
        </is>
      </c>
      <c r="G71" s="70" t="inlineStr">
        <is>
          <t>[]</t>
        </is>
      </c>
      <c r="H71" s="70" t="inlineStr">
        <is>
          <t>Hip hinge</t>
        </is>
      </c>
      <c r="I71" s="70" t="inlineStr">
        <is>
          <t>Main lift</t>
        </is>
      </c>
      <c r="J71" s="70" t="inlineStr">
        <is>
          <t>Often easier to keep the load close to the body.</t>
        </is>
      </c>
      <c r="K71" s="70" t="inlineStr">
        <is>
          <t>Yes</t>
        </is>
      </c>
      <c r="L71" s="70" t="b">
        <v>0</v>
      </c>
      <c r="M71" s="168" t="n">
        <v>46222.65625</v>
      </c>
    </row>
    <row r="72">
      <c r="A72" s="67" t="inlineStr">
        <is>
          <t>EX071</t>
        </is>
      </c>
      <c r="B72" s="70" t="inlineStr">
        <is>
          <t>Rack pull</t>
        </is>
      </c>
      <c r="C72" s="70" t="inlineStr">
        <is>
          <t>Glutes / Back</t>
        </is>
      </c>
      <c r="D72" s="70" t="inlineStr">
        <is>
          <t>Hip hinge</t>
        </is>
      </c>
      <c r="E72" s="70" t="inlineStr">
        <is>
          <t>Power rack / squat stands + Barbell + plates</t>
        </is>
      </c>
      <c r="F72" s="70" t="inlineStr">
        <is>
          <t>[["Power rack / squat stands","Barbell + plates"]]</t>
        </is>
      </c>
      <c r="G72" s="70" t="inlineStr">
        <is>
          <t>[]</t>
        </is>
      </c>
      <c r="H72" s="70" t="inlineStr">
        <is>
          <t>Hip hinge</t>
        </is>
      </c>
      <c r="I72" s="70" t="inlineStr">
        <is>
          <t>Main lift</t>
        </is>
      </c>
      <c r="J72" s="70" t="inlineStr">
        <is>
          <t>Use sparingly; high loading can be fatiguing.</t>
        </is>
      </c>
      <c r="K72" s="70" t="inlineStr">
        <is>
          <t>Maybe</t>
        </is>
      </c>
      <c r="L72" s="70" t="b">
        <v>0</v>
      </c>
      <c r="M72" s="168" t="n">
        <v>46222.65625</v>
      </c>
    </row>
    <row r="73">
      <c r="A73" s="67" t="inlineStr">
        <is>
          <t>EX072</t>
        </is>
      </c>
      <c r="B73" s="70" t="inlineStr">
        <is>
          <t>Good morning</t>
        </is>
      </c>
      <c r="C73" s="70" t="inlineStr">
        <is>
          <t>Hamstrings / Glutes</t>
        </is>
      </c>
      <c r="D73" s="70" t="inlineStr">
        <is>
          <t>Hip hinge</t>
        </is>
      </c>
      <c r="E73" s="70" t="inlineStr">
        <is>
          <t>Power rack / squat stands + Barbell + plates</t>
        </is>
      </c>
      <c r="F73" s="70" t="inlineStr">
        <is>
          <t>[["Power rack / squat stands","Barbell + plates"]]</t>
        </is>
      </c>
      <c r="G73" s="70" t="inlineStr">
        <is>
          <t>[]</t>
        </is>
      </c>
      <c r="H73" s="70" t="inlineStr">
        <is>
          <t>Hip hinge</t>
        </is>
      </c>
      <c r="I73" s="70" t="inlineStr">
        <is>
          <t>Substitution</t>
        </is>
      </c>
      <c r="J73" s="70" t="inlineStr">
        <is>
          <t>Light, controlled hinge; not a max-load movement.</t>
        </is>
      </c>
      <c r="K73" s="70" t="inlineStr">
        <is>
          <t>Maybe</t>
        </is>
      </c>
      <c r="L73" s="70" t="b">
        <v>0</v>
      </c>
      <c r="M73" s="168" t="n">
        <v>46222.65625</v>
      </c>
    </row>
    <row r="74">
      <c r="A74" s="67" t="inlineStr">
        <is>
          <t>EX073</t>
        </is>
      </c>
      <c r="B74" s="70" t="inlineStr">
        <is>
          <t>Kettlebell Romanian deadlift</t>
        </is>
      </c>
      <c r="C74" s="70" t="inlineStr">
        <is>
          <t>Hamstrings / Glutes</t>
        </is>
      </c>
      <c r="D74" s="70" t="inlineStr">
        <is>
          <t>Hip hinge</t>
        </is>
      </c>
      <c r="E74" s="70" t="inlineStr">
        <is>
          <t>Kettlebells</t>
        </is>
      </c>
      <c r="F74" s="70" t="inlineStr">
        <is>
          <t>[["Kettlebells"]]</t>
        </is>
      </c>
      <c r="G74" s="70" t="inlineStr">
        <is>
          <t>[]</t>
        </is>
      </c>
      <c r="H74" s="70" t="inlineStr">
        <is>
          <t>Hip hinge</t>
        </is>
      </c>
      <c r="I74" s="70" t="inlineStr">
        <is>
          <t>Substitution</t>
        </is>
      </c>
      <c r="J74" s="70" t="str"/>
      <c r="K74" s="70" t="inlineStr">
        <is>
          <t>Yes</t>
        </is>
      </c>
      <c r="L74" s="70" t="b">
        <v>0</v>
      </c>
      <c r="M74" s="168" t="n">
        <v>46222.65625</v>
      </c>
    </row>
    <row r="75">
      <c r="A75" s="67" t="inlineStr">
        <is>
          <t>EX074</t>
        </is>
      </c>
      <c r="B75" s="70" t="inlineStr">
        <is>
          <t>Kettlebell swing</t>
        </is>
      </c>
      <c r="C75" s="70" t="inlineStr">
        <is>
          <t>Glutes / Conditioning</t>
        </is>
      </c>
      <c r="D75" s="70" t="inlineStr">
        <is>
          <t>Ballistic hinge</t>
        </is>
      </c>
      <c r="E75" s="70" t="inlineStr">
        <is>
          <t>Kettlebells</t>
        </is>
      </c>
      <c r="F75" s="70" t="inlineStr">
        <is>
          <t>[["Kettlebells"]]</t>
        </is>
      </c>
      <c r="G75" s="70" t="inlineStr">
        <is>
          <t>[]</t>
        </is>
      </c>
      <c r="H75" s="70" t="inlineStr">
        <is>
          <t>Conditioning</t>
        </is>
      </c>
      <c r="I75" s="70" t="inlineStr">
        <is>
          <t>Conditioning</t>
        </is>
      </c>
      <c r="J75" s="70" t="inlineStr">
        <is>
          <t>Use only with established hinge technique.</t>
        </is>
      </c>
      <c r="K75" s="70" t="inlineStr">
        <is>
          <t>Maybe</t>
        </is>
      </c>
      <c r="L75" s="70" t="b">
        <v>0</v>
      </c>
      <c r="M75" s="168" t="n">
        <v>46222.65625</v>
      </c>
    </row>
    <row r="76">
      <c r="A76" s="67" t="inlineStr">
        <is>
          <t>EX075</t>
        </is>
      </c>
      <c r="B76" s="70" t="inlineStr">
        <is>
          <t>Dumbbell hip thrust</t>
        </is>
      </c>
      <c r="C76" s="70" t="inlineStr">
        <is>
          <t>Glutes / Hamstrings</t>
        </is>
      </c>
      <c r="D76" s="70" t="inlineStr">
        <is>
          <t>Hip extension</t>
        </is>
      </c>
      <c r="E76" s="70" t="inlineStr">
        <is>
          <t>Dumbbells + Bench</t>
        </is>
      </c>
      <c r="F76" s="70" t="inlineStr">
        <is>
          <t>[["Dumbbells","Bench"]]</t>
        </is>
      </c>
      <c r="G76" s="70" t="inlineStr">
        <is>
          <t>[]</t>
        </is>
      </c>
      <c r="H76" s="70" t="inlineStr">
        <is>
          <t>Hip extension</t>
        </is>
      </c>
      <c r="I76" s="70" t="inlineStr">
        <is>
          <t>Substitution</t>
        </is>
      </c>
      <c r="J76" s="70" t="str"/>
      <c r="K76" s="70" t="inlineStr">
        <is>
          <t>Yes</t>
        </is>
      </c>
      <c r="L76" s="70" t="b">
        <v>0</v>
      </c>
      <c r="M76" s="168" t="n">
        <v>46222.65625</v>
      </c>
    </row>
    <row r="77">
      <c r="A77" s="67" t="inlineStr">
        <is>
          <t>EX076</t>
        </is>
      </c>
      <c r="B77" s="70" t="inlineStr">
        <is>
          <t>Glute bridge</t>
        </is>
      </c>
      <c r="C77" s="70" t="inlineStr">
        <is>
          <t>Glutes / Hamstrings</t>
        </is>
      </c>
      <c r="D77" s="70" t="inlineStr">
        <is>
          <t>Hip extension</t>
        </is>
      </c>
      <c r="E77" s="70" t="inlineStr">
        <is>
          <t>Bodyweight / floor space</t>
        </is>
      </c>
      <c r="F77" s="70" t="inlineStr">
        <is>
          <t>[["Bodyweight / floor space"]]</t>
        </is>
      </c>
      <c r="G77" s="70" t="inlineStr">
        <is>
          <t>["Dumbbells","Barbell + plates","Resistance bands / tubes"]</t>
        </is>
      </c>
      <c r="H77" s="70" t="inlineStr">
        <is>
          <t>Hip extension</t>
        </is>
      </c>
      <c r="I77" s="70" t="inlineStr">
        <is>
          <t>Substitution</t>
        </is>
      </c>
      <c r="J77" s="70" t="str"/>
      <c r="K77" s="70" t="inlineStr">
        <is>
          <t>Yes</t>
        </is>
      </c>
      <c r="L77" s="70" t="b">
        <v>0</v>
      </c>
      <c r="M77" s="168" t="n">
        <v>46222.65625</v>
      </c>
    </row>
    <row r="78">
      <c r="A78" s="67" t="inlineStr">
        <is>
          <t>EX077</t>
        </is>
      </c>
      <c r="B78" s="70" t="inlineStr">
        <is>
          <t>Seated leg curl</t>
        </is>
      </c>
      <c r="C78" s="70" t="inlineStr">
        <is>
          <t>Hamstrings</t>
        </is>
      </c>
      <c r="D78" s="70" t="inlineStr">
        <is>
          <t>Knee flexion</t>
        </is>
      </c>
      <c r="E78" s="70" t="inlineStr">
        <is>
          <t>Leg curl machine</t>
        </is>
      </c>
      <c r="F78" s="70" t="inlineStr">
        <is>
          <t>[["Leg curl machine"]]</t>
        </is>
      </c>
      <c r="G78" s="70" t="inlineStr">
        <is>
          <t>[]</t>
        </is>
      </c>
      <c r="H78" s="70" t="inlineStr">
        <is>
          <t>Knee flexion</t>
        </is>
      </c>
      <c r="I78" s="70" t="inlineStr">
        <is>
          <t>Isolation</t>
        </is>
      </c>
      <c r="J78" s="70" t="str"/>
      <c r="K78" s="70" t="inlineStr">
        <is>
          <t>Yes</t>
        </is>
      </c>
      <c r="L78" s="70" t="b">
        <v>0</v>
      </c>
      <c r="M78" s="168" t="n">
        <v>46222.65625</v>
      </c>
    </row>
    <row r="79">
      <c r="A79" s="67" t="inlineStr">
        <is>
          <t>EX078</t>
        </is>
      </c>
      <c r="B79" s="70" t="inlineStr">
        <is>
          <t>Lying leg curl</t>
        </is>
      </c>
      <c r="C79" s="70" t="inlineStr">
        <is>
          <t>Hamstrings</t>
        </is>
      </c>
      <c r="D79" s="70" t="inlineStr">
        <is>
          <t>Knee flexion</t>
        </is>
      </c>
      <c r="E79" s="70" t="inlineStr">
        <is>
          <t>Leg curl machine</t>
        </is>
      </c>
      <c r="F79" s="70" t="inlineStr">
        <is>
          <t>[["Leg curl machine"]]</t>
        </is>
      </c>
      <c r="G79" s="70" t="inlineStr">
        <is>
          <t>[]</t>
        </is>
      </c>
      <c r="H79" s="70" t="inlineStr">
        <is>
          <t>Knee flexion</t>
        </is>
      </c>
      <c r="I79" s="70" t="inlineStr">
        <is>
          <t>Isolation</t>
        </is>
      </c>
      <c r="J79" s="70" t="str"/>
      <c r="K79" s="70" t="inlineStr">
        <is>
          <t>Yes</t>
        </is>
      </c>
      <c r="L79" s="70" t="b">
        <v>0</v>
      </c>
      <c r="M79" s="168" t="n">
        <v>46222.65625</v>
      </c>
    </row>
    <row r="80">
      <c r="A80" s="67" t="inlineStr">
        <is>
          <t>EX079</t>
        </is>
      </c>
      <c r="B80" s="70" t="inlineStr">
        <is>
          <t>Banded leg curl</t>
        </is>
      </c>
      <c r="C80" s="70" t="inlineStr">
        <is>
          <t>Hamstrings</t>
        </is>
      </c>
      <c r="D80" s="70" t="inlineStr">
        <is>
          <t>Knee flexion</t>
        </is>
      </c>
      <c r="E80" s="70" t="inlineStr">
        <is>
          <t>Resistance bands / tubes + Secure band anchor</t>
        </is>
      </c>
      <c r="F80" s="70" t="inlineStr">
        <is>
          <t>[["Resistance bands / tubes","Secure band anchor"]]</t>
        </is>
      </c>
      <c r="G80" s="70" t="inlineStr">
        <is>
          <t>[]</t>
        </is>
      </c>
      <c r="H80" s="70" t="inlineStr">
        <is>
          <t>Knee flexion</t>
        </is>
      </c>
      <c r="I80" s="70" t="inlineStr">
        <is>
          <t>Isolation</t>
        </is>
      </c>
      <c r="J80" s="70" t="str"/>
      <c r="K80" s="70" t="inlineStr">
        <is>
          <t>Yes</t>
        </is>
      </c>
      <c r="L80" s="70" t="b">
        <v>0</v>
      </c>
      <c r="M80" s="168" t="n">
        <v>46222.65625</v>
      </c>
    </row>
    <row r="81">
      <c r="A81" s="67" t="inlineStr">
        <is>
          <t>EX080</t>
        </is>
      </c>
      <c r="B81" s="70" t="inlineStr">
        <is>
          <t>Stability-ball leg curl</t>
        </is>
      </c>
      <c r="C81" s="70" t="inlineStr">
        <is>
          <t>Hamstrings / Glutes</t>
        </is>
      </c>
      <c r="D81" s="70" t="inlineStr">
        <is>
          <t>Knee flexion</t>
        </is>
      </c>
      <c r="E81" s="70" t="inlineStr">
        <is>
          <t>Stability ball</t>
        </is>
      </c>
      <c r="F81" s="70" t="inlineStr">
        <is>
          <t>[["Stability ball"]]</t>
        </is>
      </c>
      <c r="G81" s="70" t="inlineStr">
        <is>
          <t>[]</t>
        </is>
      </c>
      <c r="H81" s="70" t="inlineStr">
        <is>
          <t>Knee flexion</t>
        </is>
      </c>
      <c r="I81" s="70" t="inlineStr">
        <is>
          <t>Substitution</t>
        </is>
      </c>
      <c r="J81" s="70" t="str"/>
      <c r="K81" s="70" t="inlineStr">
        <is>
          <t>Yes</t>
        </is>
      </c>
      <c r="L81" s="70" t="b">
        <v>0</v>
      </c>
      <c r="M81" s="168" t="n">
        <v>46222.65625</v>
      </c>
    </row>
    <row r="82">
      <c r="A82" s="67" t="inlineStr">
        <is>
          <t>EX081</t>
        </is>
      </c>
      <c r="B82" s="70" t="inlineStr">
        <is>
          <t>Nordic hamstring curl</t>
        </is>
      </c>
      <c r="C82" s="70" t="inlineStr">
        <is>
          <t>Hamstrings</t>
        </is>
      </c>
      <c r="D82" s="70" t="inlineStr">
        <is>
          <t>Knee flexion</t>
        </is>
      </c>
      <c r="E82" s="70" t="inlineStr">
        <is>
          <t>Glute-ham developer / Nordic bench</t>
        </is>
      </c>
      <c r="F82" s="70" t="inlineStr">
        <is>
          <t>[["Glute-ham developer / Nordic bench"]]</t>
        </is>
      </c>
      <c r="G82" s="70" t="inlineStr">
        <is>
          <t>[]</t>
        </is>
      </c>
      <c r="H82" s="70" t="inlineStr">
        <is>
          <t>Knee flexion</t>
        </is>
      </c>
      <c r="I82" s="70" t="inlineStr">
        <is>
          <t>Advanced</t>
        </is>
      </c>
      <c r="J82" s="70" t="inlineStr">
        <is>
          <t>Use assistance and a controlled eccentric.</t>
        </is>
      </c>
      <c r="K82" s="70" t="inlineStr">
        <is>
          <t>Maybe</t>
        </is>
      </c>
      <c r="L82" s="70" t="b">
        <v>0</v>
      </c>
      <c r="M82" s="168" t="n">
        <v>46222.65625</v>
      </c>
    </row>
    <row r="83">
      <c r="A83" s="67" t="inlineStr">
        <is>
          <t>EX082</t>
        </is>
      </c>
      <c r="B83" s="70" t="inlineStr">
        <is>
          <t>Glute-ham raise</t>
        </is>
      </c>
      <c r="C83" s="70" t="inlineStr">
        <is>
          <t>Hamstrings / Glutes</t>
        </is>
      </c>
      <c r="D83" s="70" t="inlineStr">
        <is>
          <t>Knee flexion</t>
        </is>
      </c>
      <c r="E83" s="70" t="inlineStr">
        <is>
          <t>Glute-ham developer / Nordic bench</t>
        </is>
      </c>
      <c r="F83" s="70" t="inlineStr">
        <is>
          <t>[["Glute-ham developer / Nordic bench"]]</t>
        </is>
      </c>
      <c r="G83" s="70" t="inlineStr">
        <is>
          <t>[]</t>
        </is>
      </c>
      <c r="H83" s="70" t="inlineStr">
        <is>
          <t>Knee flexion</t>
        </is>
      </c>
      <c r="I83" s="70" t="inlineStr">
        <is>
          <t>Advanced</t>
        </is>
      </c>
      <c r="J83" s="70" t="inlineStr">
        <is>
          <t>Scale range of motion as needed.</t>
        </is>
      </c>
      <c r="K83" s="70" t="inlineStr">
        <is>
          <t>Maybe</t>
        </is>
      </c>
      <c r="L83" s="70" t="b">
        <v>0</v>
      </c>
      <c r="M83" s="168" t="n">
        <v>46222.65625</v>
      </c>
    </row>
    <row r="84">
      <c r="A84" s="67" t="inlineStr">
        <is>
          <t>EX083</t>
        </is>
      </c>
      <c r="B84" s="70" t="inlineStr">
        <is>
          <t>Seated calf raise</t>
        </is>
      </c>
      <c r="C84" s="70" t="inlineStr">
        <is>
          <t>Soleus / Calves</t>
        </is>
      </c>
      <c r="D84" s="70" t="inlineStr">
        <is>
          <t>Calf raise</t>
        </is>
      </c>
      <c r="E84" s="70" t="inlineStr">
        <is>
          <t>Calf raise platform / machine OR Bench + Dumbbells</t>
        </is>
      </c>
      <c r="F84" s="70" t="inlineStr">
        <is>
          <t>[["Calf raise platform / machine"],["Bench","Dumbbells"]]</t>
        </is>
      </c>
      <c r="G84" s="70" t="inlineStr">
        <is>
          <t>[]</t>
        </is>
      </c>
      <c r="H84" s="70" t="inlineStr">
        <is>
          <t>Calf raise</t>
        </is>
      </c>
      <c r="I84" s="70" t="inlineStr">
        <is>
          <t>Isolation</t>
        </is>
      </c>
      <c r="J84" s="70" t="str"/>
      <c r="K84" s="70" t="inlineStr">
        <is>
          <t>Yes</t>
        </is>
      </c>
      <c r="L84" s="70" t="b">
        <v>0</v>
      </c>
      <c r="M84" s="168" t="n">
        <v>46222.65625</v>
      </c>
    </row>
    <row r="85">
      <c r="A85" s="67" t="inlineStr">
        <is>
          <t>EX084</t>
        </is>
      </c>
      <c r="B85" s="70" t="inlineStr">
        <is>
          <t>Single-leg calf raise</t>
        </is>
      </c>
      <c r="C85" s="70" t="inlineStr">
        <is>
          <t>Calves</t>
        </is>
      </c>
      <c r="D85" s="70" t="inlineStr">
        <is>
          <t>Calf raise</t>
        </is>
      </c>
      <c r="E85" s="70" t="inlineStr">
        <is>
          <t>Bodyweight / floor space</t>
        </is>
      </c>
      <c r="F85" s="70" t="inlineStr">
        <is>
          <t>[["Bodyweight / floor space"]]</t>
        </is>
      </c>
      <c r="G85" s="70" t="inlineStr">
        <is>
          <t>["Dumbbells","Calf raise platform / machine"]</t>
        </is>
      </c>
      <c r="H85" s="70" t="inlineStr">
        <is>
          <t>Calf raise</t>
        </is>
      </c>
      <c r="I85" s="70" t="inlineStr">
        <is>
          <t>Isolation</t>
        </is>
      </c>
      <c r="J85" s="70" t="str"/>
      <c r="K85" s="70" t="inlineStr">
        <is>
          <t>Yes</t>
        </is>
      </c>
      <c r="L85" s="70" t="b">
        <v>0</v>
      </c>
      <c r="M85" s="168" t="n">
        <v>46222.65625</v>
      </c>
    </row>
    <row r="86">
      <c r="A86" s="67" t="inlineStr">
        <is>
          <t>EX085</t>
        </is>
      </c>
      <c r="B86" s="70" t="inlineStr">
        <is>
          <t>Smith-machine bench press</t>
        </is>
      </c>
      <c r="C86" s="70" t="inlineStr">
        <is>
          <t>Chest / Triceps</t>
        </is>
      </c>
      <c r="D86" s="70" t="inlineStr">
        <is>
          <t>Horizontal press</t>
        </is>
      </c>
      <c r="E86" s="70" t="inlineStr">
        <is>
          <t>Smith machine + Bench</t>
        </is>
      </c>
      <c r="F86" s="70" t="inlineStr">
        <is>
          <t>[["Smith machine","Bench"]]</t>
        </is>
      </c>
      <c r="G86" s="70" t="inlineStr">
        <is>
          <t>[]</t>
        </is>
      </c>
      <c r="H86" s="70" t="inlineStr">
        <is>
          <t>Horizontal press</t>
        </is>
      </c>
      <c r="I86" s="70" t="inlineStr">
        <is>
          <t>Main lift</t>
        </is>
      </c>
      <c r="J86" s="70" t="str"/>
      <c r="K86" s="70" t="inlineStr">
        <is>
          <t>Yes</t>
        </is>
      </c>
      <c r="L86" s="70" t="b">
        <v>0</v>
      </c>
      <c r="M86" s="168" t="n">
        <v>46222.65625</v>
      </c>
    </row>
    <row r="87">
      <c r="A87" s="67" t="inlineStr">
        <is>
          <t>EX086</t>
        </is>
      </c>
      <c r="B87" s="70" t="inlineStr">
        <is>
          <t>Chest press machine</t>
        </is>
      </c>
      <c r="C87" s="70" t="inlineStr">
        <is>
          <t>Chest / Triceps</t>
        </is>
      </c>
      <c r="D87" s="70" t="inlineStr">
        <is>
          <t>Horizontal press</t>
        </is>
      </c>
      <c r="E87" s="70" t="inlineStr">
        <is>
          <t>Chest press / pec deck machine</t>
        </is>
      </c>
      <c r="F87" s="70" t="inlineStr">
        <is>
          <t>[["Chest press / pec deck machine"]]</t>
        </is>
      </c>
      <c r="G87" s="70" t="inlineStr">
        <is>
          <t>[]</t>
        </is>
      </c>
      <c r="H87" s="70" t="inlineStr">
        <is>
          <t>Horizontal press</t>
        </is>
      </c>
      <c r="I87" s="70" t="inlineStr">
        <is>
          <t>Main lift</t>
        </is>
      </c>
      <c r="J87" s="70" t="str"/>
      <c r="K87" s="70" t="inlineStr">
        <is>
          <t>Yes</t>
        </is>
      </c>
      <c r="L87" s="70" t="b">
        <v>0</v>
      </c>
      <c r="M87" s="168" t="n">
        <v>46222.65625</v>
      </c>
    </row>
    <row r="88">
      <c r="A88" s="67" t="inlineStr">
        <is>
          <t>EX087</t>
        </is>
      </c>
      <c r="B88" s="70" t="inlineStr">
        <is>
          <t>Dumbbell fly</t>
        </is>
      </c>
      <c r="C88" s="70" t="inlineStr">
        <is>
          <t>Chest</t>
        </is>
      </c>
      <c r="D88" s="70" t="inlineStr">
        <is>
          <t>Chest isolation</t>
        </is>
      </c>
      <c r="E88" s="70" t="inlineStr">
        <is>
          <t>Dumbbells + Bench</t>
        </is>
      </c>
      <c r="F88" s="70" t="inlineStr">
        <is>
          <t>[["Dumbbells","Bench"]]</t>
        </is>
      </c>
      <c r="G88" s="70" t="inlineStr">
        <is>
          <t>[]</t>
        </is>
      </c>
      <c r="H88" s="70" t="inlineStr">
        <is>
          <t>Chest</t>
        </is>
      </c>
      <c r="I88" s="70" t="inlineStr">
        <is>
          <t>Isolation</t>
        </is>
      </c>
      <c r="J88" s="70" t="inlineStr">
        <is>
          <t>Use a comfortable range; avoid excessive stretch.</t>
        </is>
      </c>
      <c r="K88" s="70" t="inlineStr">
        <is>
          <t>Maybe</t>
        </is>
      </c>
      <c r="L88" s="70" t="b">
        <v>0</v>
      </c>
      <c r="M88" s="168" t="n">
        <v>46222.65625</v>
      </c>
    </row>
    <row r="89">
      <c r="A89" s="67" t="inlineStr">
        <is>
          <t>EX088</t>
        </is>
      </c>
      <c r="B89" s="70" t="inlineStr">
        <is>
          <t>Pec deck fly</t>
        </is>
      </c>
      <c r="C89" s="70" t="inlineStr">
        <is>
          <t>Chest</t>
        </is>
      </c>
      <c r="D89" s="70" t="inlineStr">
        <is>
          <t>Chest isolation</t>
        </is>
      </c>
      <c r="E89" s="70" t="inlineStr">
        <is>
          <t>Chest press / pec deck machine</t>
        </is>
      </c>
      <c r="F89" s="70" t="inlineStr">
        <is>
          <t>[["Chest press / pec deck machine"]]</t>
        </is>
      </c>
      <c r="G89" s="70" t="inlineStr">
        <is>
          <t>[]</t>
        </is>
      </c>
      <c r="H89" s="70" t="inlineStr">
        <is>
          <t>Chest</t>
        </is>
      </c>
      <c r="I89" s="70" t="inlineStr">
        <is>
          <t>Isolation</t>
        </is>
      </c>
      <c r="J89" s="70" t="str"/>
      <c r="K89" s="70" t="inlineStr">
        <is>
          <t>Maybe</t>
        </is>
      </c>
      <c r="L89" s="70" t="b">
        <v>0</v>
      </c>
      <c r="M89" s="168" t="n">
        <v>46222.65625</v>
      </c>
    </row>
    <row r="90">
      <c r="A90" s="67" t="inlineStr">
        <is>
          <t>EX089</t>
        </is>
      </c>
      <c r="B90" s="70" t="inlineStr">
        <is>
          <t>Landmine press</t>
        </is>
      </c>
      <c r="C90" s="70" t="inlineStr">
        <is>
          <t>Delts / Upper chest / Triceps</t>
        </is>
      </c>
      <c r="D90" s="70" t="inlineStr">
        <is>
          <t>Vertical press</t>
        </is>
      </c>
      <c r="E90" s="70" t="inlineStr">
        <is>
          <t>Barbell + plates + Landmine attachment</t>
        </is>
      </c>
      <c r="F90" s="70" t="inlineStr">
        <is>
          <t>[["Barbell + plates","Landmine attachment"]]</t>
        </is>
      </c>
      <c r="G90" s="70" t="inlineStr">
        <is>
          <t>[]</t>
        </is>
      </c>
      <c r="H90" s="70" t="inlineStr">
        <is>
          <t>Vertical press</t>
        </is>
      </c>
      <c r="I90" s="70" t="inlineStr">
        <is>
          <t>Substitution</t>
        </is>
      </c>
      <c r="J90" s="70" t="str"/>
      <c r="K90" s="70" t="inlineStr">
        <is>
          <t>Yes</t>
        </is>
      </c>
      <c r="L90" s="70" t="b">
        <v>0</v>
      </c>
      <c r="M90" s="168" t="n">
        <v>46222.65625</v>
      </c>
    </row>
    <row r="91">
      <c r="A91" s="67" t="inlineStr">
        <is>
          <t>EX090</t>
        </is>
      </c>
      <c r="B91" s="70" t="inlineStr">
        <is>
          <t>Arnold press</t>
        </is>
      </c>
      <c r="C91" s="70" t="inlineStr">
        <is>
          <t>Delts / Triceps</t>
        </is>
      </c>
      <c r="D91" s="70" t="inlineStr">
        <is>
          <t>Vertical press</t>
        </is>
      </c>
      <c r="E91" s="70" t="inlineStr">
        <is>
          <t>Dumbbells + Bench</t>
        </is>
      </c>
      <c r="F91" s="70" t="inlineStr">
        <is>
          <t>[["Dumbbells","Bench"]]</t>
        </is>
      </c>
      <c r="G91" s="70" t="inlineStr">
        <is>
          <t>[]</t>
        </is>
      </c>
      <c r="H91" s="70" t="inlineStr">
        <is>
          <t>Vertical press</t>
        </is>
      </c>
      <c r="I91" s="70" t="inlineStr">
        <is>
          <t>Substitution</t>
        </is>
      </c>
      <c r="J91" s="70" t="str"/>
      <c r="K91" s="70" t="inlineStr">
        <is>
          <t>Yes</t>
        </is>
      </c>
      <c r="L91" s="70" t="b">
        <v>0</v>
      </c>
      <c r="M91" s="168" t="n">
        <v>46222.65625</v>
      </c>
    </row>
    <row r="92">
      <c r="A92" s="67" t="inlineStr">
        <is>
          <t>EX091</t>
        </is>
      </c>
      <c r="B92" s="70" t="inlineStr">
        <is>
          <t>Dumbbell pullover</t>
        </is>
      </c>
      <c r="C92" s="70" t="inlineStr">
        <is>
          <t>Lats / Chest</t>
        </is>
      </c>
      <c r="D92" s="70" t="inlineStr">
        <is>
          <t>Pullover</t>
        </is>
      </c>
      <c r="E92" s="70" t="inlineStr">
        <is>
          <t>Dumbbells + Bench</t>
        </is>
      </c>
      <c r="F92" s="70" t="inlineStr">
        <is>
          <t>[["Dumbbells","Bench"]]</t>
        </is>
      </c>
      <c r="G92" s="70" t="inlineStr">
        <is>
          <t>[]</t>
        </is>
      </c>
      <c r="H92" s="70" t="inlineStr">
        <is>
          <t>Pullover</t>
        </is>
      </c>
      <c r="I92" s="70" t="inlineStr">
        <is>
          <t>Substitution</t>
        </is>
      </c>
      <c r="J92" s="70" t="str"/>
      <c r="K92" s="70" t="inlineStr">
        <is>
          <t>Yes</t>
        </is>
      </c>
      <c r="L92" s="70" t="b">
        <v>0</v>
      </c>
      <c r="M92" s="168" t="n">
        <v>46222.65625</v>
      </c>
    </row>
    <row r="93">
      <c r="A93" s="67" t="inlineStr">
        <is>
          <t>EX092</t>
        </is>
      </c>
      <c r="B93" s="70" t="inlineStr">
        <is>
          <t>Landmine T-bar row</t>
        </is>
      </c>
      <c r="C93" s="70" t="inlineStr">
        <is>
          <t>Upper back / Lats</t>
        </is>
      </c>
      <c r="D93" s="70" t="inlineStr">
        <is>
          <t>Horizontal pull</t>
        </is>
      </c>
      <c r="E93" s="70" t="inlineStr">
        <is>
          <t>Barbell + plates + Landmine attachment</t>
        </is>
      </c>
      <c r="F93" s="70" t="inlineStr">
        <is>
          <t>[["Barbell + plates","Landmine attachment"]]</t>
        </is>
      </c>
      <c r="G93" s="70" t="inlineStr">
        <is>
          <t>[]</t>
        </is>
      </c>
      <c r="H93" s="70" t="inlineStr">
        <is>
          <t>Horizontal pull</t>
        </is>
      </c>
      <c r="I93" s="70" t="inlineStr">
        <is>
          <t>Main lift</t>
        </is>
      </c>
      <c r="J93" s="70" t="str"/>
      <c r="K93" s="70" t="inlineStr">
        <is>
          <t>Yes</t>
        </is>
      </c>
      <c r="L93" s="70" t="b">
        <v>0</v>
      </c>
      <c r="M93" s="168" t="n">
        <v>46222.65625</v>
      </c>
    </row>
    <row r="94">
      <c r="A94" s="67" t="inlineStr">
        <is>
          <t>EX093</t>
        </is>
      </c>
      <c r="B94" s="70" t="inlineStr">
        <is>
          <t>Band row</t>
        </is>
      </c>
      <c r="C94" s="70" t="inlineStr">
        <is>
          <t>Upper back / Lats</t>
        </is>
      </c>
      <c r="D94" s="70" t="inlineStr">
        <is>
          <t>Horizontal pull</t>
        </is>
      </c>
      <c r="E94" s="70" t="inlineStr">
        <is>
          <t>Resistance bands / tubes + Secure band anchor</t>
        </is>
      </c>
      <c r="F94" s="70" t="inlineStr">
        <is>
          <t>[["Resistance bands / tubes","Secure band anchor"]]</t>
        </is>
      </c>
      <c r="G94" s="70" t="inlineStr">
        <is>
          <t>[]</t>
        </is>
      </c>
      <c r="H94" s="70" t="inlineStr">
        <is>
          <t>Horizontal pull</t>
        </is>
      </c>
      <c r="I94" s="70" t="inlineStr">
        <is>
          <t>Substitution</t>
        </is>
      </c>
      <c r="J94" s="70" t="str"/>
      <c r="K94" s="70" t="inlineStr">
        <is>
          <t>Yes</t>
        </is>
      </c>
      <c r="L94" s="70" t="b">
        <v>0</v>
      </c>
      <c r="M94" s="168" t="n">
        <v>46222.65625</v>
      </c>
    </row>
    <row r="95">
      <c r="A95" s="67" t="inlineStr">
        <is>
          <t>EX094</t>
        </is>
      </c>
      <c r="B95" s="70" t="inlineStr">
        <is>
          <t>Band lat pulldown</t>
        </is>
      </c>
      <c r="C95" s="70" t="inlineStr">
        <is>
          <t>Lats</t>
        </is>
      </c>
      <c r="D95" s="70" t="inlineStr">
        <is>
          <t>Vertical pull</t>
        </is>
      </c>
      <c r="E95" s="70" t="inlineStr">
        <is>
          <t>Resistance bands / tubes + High band anchor</t>
        </is>
      </c>
      <c r="F95" s="70" t="inlineStr">
        <is>
          <t>[["Resistance bands / tubes","High band anchor"]]</t>
        </is>
      </c>
      <c r="G95" s="70" t="inlineStr">
        <is>
          <t>[]</t>
        </is>
      </c>
      <c r="H95" s="70" t="inlineStr">
        <is>
          <t>Vertical pull</t>
        </is>
      </c>
      <c r="I95" s="70" t="inlineStr">
        <is>
          <t>Substitution</t>
        </is>
      </c>
      <c r="J95" s="70" t="str"/>
      <c r="K95" s="70" t="inlineStr">
        <is>
          <t>Yes</t>
        </is>
      </c>
      <c r="L95" s="70" t="b">
        <v>0</v>
      </c>
      <c r="M95" s="168" t="n">
        <v>46222.65625</v>
      </c>
    </row>
    <row r="96">
      <c r="A96" s="67" t="inlineStr">
        <is>
          <t>EX095</t>
        </is>
      </c>
      <c r="B96" s="70" t="inlineStr">
        <is>
          <t>Pull-up</t>
        </is>
      </c>
      <c r="C96" s="70" t="inlineStr">
        <is>
          <t>Lats / Biceps</t>
        </is>
      </c>
      <c r="D96" s="70" t="inlineStr">
        <is>
          <t>Vertical pull</t>
        </is>
      </c>
      <c r="E96" s="70" t="inlineStr">
        <is>
          <t>Pull-up bar</t>
        </is>
      </c>
      <c r="F96" s="70" t="inlineStr">
        <is>
          <t>[["Pull-up bar"]]</t>
        </is>
      </c>
      <c r="G96" s="70" t="inlineStr">
        <is>
          <t>["Resistance bands / tubes","Dip belt / loading belt"]</t>
        </is>
      </c>
      <c r="H96" s="70" t="inlineStr">
        <is>
          <t>Vertical pull</t>
        </is>
      </c>
      <c r="I96" s="70" t="inlineStr">
        <is>
          <t>Main lift</t>
        </is>
      </c>
      <c r="J96" s="70" t="str"/>
      <c r="K96" s="70" t="inlineStr">
        <is>
          <t>Yes</t>
        </is>
      </c>
      <c r="L96" s="70" t="b">
        <v>0</v>
      </c>
      <c r="M96" s="168" t="n">
        <v>46222.65625</v>
      </c>
    </row>
    <row r="97">
      <c r="A97" s="67" t="inlineStr">
        <is>
          <t>EX096</t>
        </is>
      </c>
      <c r="B97" s="70" t="inlineStr">
        <is>
          <t>Band-assisted pull-up</t>
        </is>
      </c>
      <c r="C97" s="70" t="inlineStr">
        <is>
          <t>Lats / Biceps</t>
        </is>
      </c>
      <c r="D97" s="70" t="inlineStr">
        <is>
          <t>Vertical pull</t>
        </is>
      </c>
      <c r="E97" s="70" t="inlineStr">
        <is>
          <t>Pull-up bar + Resistance bands / tubes</t>
        </is>
      </c>
      <c r="F97" s="70" t="inlineStr">
        <is>
          <t>[["Pull-up bar","Resistance bands / tubes"]]</t>
        </is>
      </c>
      <c r="G97" s="70" t="inlineStr">
        <is>
          <t>[]</t>
        </is>
      </c>
      <c r="H97" s="70" t="inlineStr">
        <is>
          <t>Vertical pull</t>
        </is>
      </c>
      <c r="I97" s="70" t="inlineStr">
        <is>
          <t>Substitution</t>
        </is>
      </c>
      <c r="J97" s="70" t="str"/>
      <c r="K97" s="70" t="inlineStr">
        <is>
          <t>Yes</t>
        </is>
      </c>
      <c r="L97" s="70" t="b">
        <v>0</v>
      </c>
      <c r="M97" s="168" t="n">
        <v>46222.65625</v>
      </c>
    </row>
    <row r="98">
      <c r="A98" s="67" t="inlineStr">
        <is>
          <t>EX097</t>
        </is>
      </c>
      <c r="B98" s="70" t="inlineStr">
        <is>
          <t>Dumbbell rear-delt fly</t>
        </is>
      </c>
      <c r="C98" s="70" t="inlineStr">
        <is>
          <t>Rear delts / Upper back</t>
        </is>
      </c>
      <c r="D98" s="70" t="inlineStr">
        <is>
          <t>Rear delt</t>
        </is>
      </c>
      <c r="E98" s="70" t="inlineStr">
        <is>
          <t>Dumbbells</t>
        </is>
      </c>
      <c r="F98" s="70" t="inlineStr">
        <is>
          <t>[["Dumbbells"]]</t>
        </is>
      </c>
      <c r="G98" s="70" t="inlineStr">
        <is>
          <t>[]</t>
        </is>
      </c>
      <c r="H98" s="70" t="inlineStr">
        <is>
          <t>Rear delt</t>
        </is>
      </c>
      <c r="I98" s="70" t="inlineStr">
        <is>
          <t>Isolation</t>
        </is>
      </c>
      <c r="J98" s="70" t="str"/>
      <c r="K98" s="70" t="inlineStr">
        <is>
          <t>Yes</t>
        </is>
      </c>
      <c r="L98" s="70" t="b">
        <v>0</v>
      </c>
      <c r="M98" s="168" t="n">
        <v>46222.65625</v>
      </c>
    </row>
    <row r="99">
      <c r="A99" s="67" t="inlineStr">
        <is>
          <t>EX098</t>
        </is>
      </c>
      <c r="B99" s="70" t="inlineStr">
        <is>
          <t>Reverse pec deck</t>
        </is>
      </c>
      <c r="C99" s="70" t="inlineStr">
        <is>
          <t>Rear delts / Upper back</t>
        </is>
      </c>
      <c r="D99" s="70" t="inlineStr">
        <is>
          <t>Rear delt</t>
        </is>
      </c>
      <c r="E99" s="70" t="inlineStr">
        <is>
          <t>Chest press / pec deck machine</t>
        </is>
      </c>
      <c r="F99" s="70" t="inlineStr">
        <is>
          <t>[["Chest press / pec deck machine"]]</t>
        </is>
      </c>
      <c r="G99" s="70" t="inlineStr">
        <is>
          <t>[]</t>
        </is>
      </c>
      <c r="H99" s="70" t="inlineStr">
        <is>
          <t>Rear delt</t>
        </is>
      </c>
      <c r="I99" s="70" t="inlineStr">
        <is>
          <t>Isolation</t>
        </is>
      </c>
      <c r="J99" s="70" t="str"/>
      <c r="K99" s="70" t="inlineStr">
        <is>
          <t>Yes</t>
        </is>
      </c>
      <c r="L99" s="70" t="b">
        <v>0</v>
      </c>
      <c r="M99" s="168" t="n">
        <v>46222.65625</v>
      </c>
    </row>
    <row r="100">
      <c r="A100" s="67" t="inlineStr">
        <is>
          <t>EX099</t>
        </is>
      </c>
      <c r="B100" s="70" t="inlineStr">
        <is>
          <t>Band face pull</t>
        </is>
      </c>
      <c r="C100" s="70" t="inlineStr">
        <is>
          <t>Rear delts / Upper back</t>
        </is>
      </c>
      <c r="D100" s="70" t="inlineStr">
        <is>
          <t>Rear delt / external rotation</t>
        </is>
      </c>
      <c r="E100" s="70" t="inlineStr">
        <is>
          <t>Resistance bands / tubes + High band anchor</t>
        </is>
      </c>
      <c r="F100" s="70" t="inlineStr">
        <is>
          <t>[["Resistance bands / tubes","High band anchor"]]</t>
        </is>
      </c>
      <c r="G100" s="70" t="inlineStr">
        <is>
          <t>[]</t>
        </is>
      </c>
      <c r="H100" s="70" t="inlineStr">
        <is>
          <t>Rear delt</t>
        </is>
      </c>
      <c r="I100" s="70" t="inlineStr">
        <is>
          <t>Isolation</t>
        </is>
      </c>
      <c r="J100" s="70" t="str"/>
      <c r="K100" s="70" t="inlineStr">
        <is>
          <t>Yes</t>
        </is>
      </c>
      <c r="L100" s="70" t="b">
        <v>0</v>
      </c>
      <c r="M100" s="168" t="n">
        <v>46222.65625</v>
      </c>
    </row>
    <row r="101">
      <c r="A101" s="67" t="inlineStr">
        <is>
          <t>EX100</t>
        </is>
      </c>
      <c r="B101" s="70" t="inlineStr">
        <is>
          <t>Band lateral raise</t>
        </is>
      </c>
      <c r="C101" s="70" t="inlineStr">
        <is>
          <t>Side delts</t>
        </is>
      </c>
      <c r="D101" s="70" t="inlineStr">
        <is>
          <t>Lateral raise</t>
        </is>
      </c>
      <c r="E101" s="70" t="inlineStr">
        <is>
          <t>Resistance bands / tubes</t>
        </is>
      </c>
      <c r="F101" s="70" t="inlineStr">
        <is>
          <t>[["Resistance bands / tubes"]]</t>
        </is>
      </c>
      <c r="G101" s="70" t="inlineStr">
        <is>
          <t>[]</t>
        </is>
      </c>
      <c r="H101" s="70" t="inlineStr">
        <is>
          <t>Lateral raise</t>
        </is>
      </c>
      <c r="I101" s="70" t="inlineStr">
        <is>
          <t>Isolation</t>
        </is>
      </c>
      <c r="J101" s="70" t="str"/>
      <c r="K101" s="70" t="inlineStr">
        <is>
          <t>Yes</t>
        </is>
      </c>
      <c r="L101" s="70" t="b">
        <v>0</v>
      </c>
      <c r="M101" s="168" t="n">
        <v>46222.65625</v>
      </c>
    </row>
    <row r="102">
      <c r="A102" s="67" t="inlineStr">
        <is>
          <t>EX101</t>
        </is>
      </c>
      <c r="B102" s="70" t="inlineStr">
        <is>
          <t>EZ-bar curl</t>
        </is>
      </c>
      <c r="C102" s="70" t="inlineStr">
        <is>
          <t>Biceps</t>
        </is>
      </c>
      <c r="D102" s="70" t="inlineStr">
        <is>
          <t>Elbow flexion</t>
        </is>
      </c>
      <c r="E102" s="70" t="inlineStr">
        <is>
          <t>EZ curl bar + Barbell plates</t>
        </is>
      </c>
      <c r="F102" s="70" t="inlineStr">
        <is>
          <t>[["EZ curl bar","Barbell plates"]]</t>
        </is>
      </c>
      <c r="G102" s="70" t="inlineStr">
        <is>
          <t>[]</t>
        </is>
      </c>
      <c r="H102" s="70" t="inlineStr">
        <is>
          <t>Elbow flexion</t>
        </is>
      </c>
      <c r="I102" s="70" t="inlineStr">
        <is>
          <t>Isolation</t>
        </is>
      </c>
      <c r="J102" s="70" t="str"/>
      <c r="K102" s="70" t="inlineStr">
        <is>
          <t>Yes</t>
        </is>
      </c>
      <c r="L102" s="70" t="b">
        <v>0</v>
      </c>
      <c r="M102" s="168" t="n">
        <v>46222.65625</v>
      </c>
    </row>
    <row r="103">
      <c r="A103" s="67" t="inlineStr">
        <is>
          <t>EX102</t>
        </is>
      </c>
      <c r="B103" s="70" t="inlineStr">
        <is>
          <t>Preacher curl</t>
        </is>
      </c>
      <c r="C103" s="70" t="inlineStr">
        <is>
          <t>Biceps</t>
        </is>
      </c>
      <c r="D103" s="70" t="inlineStr">
        <is>
          <t>Elbow flexion</t>
        </is>
      </c>
      <c r="E103" s="70" t="inlineStr">
        <is>
          <t>Preacher curl bench + EZ curl bar + Barbell plates OR Preacher curl bench + Dumbbells</t>
        </is>
      </c>
      <c r="F103" s="70" t="inlineStr">
        <is>
          <t>[["Preacher curl bench","EZ curl bar","Barbell plates"],["Preacher curl bench","Dumbbells"]]</t>
        </is>
      </c>
      <c r="G103" s="70" t="inlineStr">
        <is>
          <t>[]</t>
        </is>
      </c>
      <c r="H103" s="70" t="inlineStr">
        <is>
          <t>Elbow flexion</t>
        </is>
      </c>
      <c r="I103" s="70" t="inlineStr">
        <is>
          <t>Isolation</t>
        </is>
      </c>
      <c r="J103" s="70" t="str"/>
      <c r="K103" s="70" t="inlineStr">
        <is>
          <t>Yes</t>
        </is>
      </c>
      <c r="L103" s="70" t="b">
        <v>0</v>
      </c>
      <c r="M103" s="168" t="n">
        <v>46222.65625</v>
      </c>
    </row>
    <row r="104">
      <c r="A104" s="67" t="inlineStr">
        <is>
          <t>EX103</t>
        </is>
      </c>
      <c r="B104" s="70" t="inlineStr">
        <is>
          <t>Band curl</t>
        </is>
      </c>
      <c r="C104" s="70" t="inlineStr">
        <is>
          <t>Biceps</t>
        </is>
      </c>
      <c r="D104" s="70" t="inlineStr">
        <is>
          <t>Elbow flexion</t>
        </is>
      </c>
      <c r="E104" s="70" t="inlineStr">
        <is>
          <t>Resistance bands / tubes</t>
        </is>
      </c>
      <c r="F104" s="70" t="inlineStr">
        <is>
          <t>[["Resistance bands / tubes"]]</t>
        </is>
      </c>
      <c r="G104" s="70" t="inlineStr">
        <is>
          <t>[]</t>
        </is>
      </c>
      <c r="H104" s="70" t="inlineStr">
        <is>
          <t>Elbow flexion</t>
        </is>
      </c>
      <c r="I104" s="70" t="inlineStr">
        <is>
          <t>Isolation</t>
        </is>
      </c>
      <c r="J104" s="70" t="str"/>
      <c r="K104" s="70" t="inlineStr">
        <is>
          <t>Yes</t>
        </is>
      </c>
      <c r="L104" s="70" t="b">
        <v>0</v>
      </c>
      <c r="M104" s="168" t="n">
        <v>46222.65625</v>
      </c>
    </row>
    <row r="105">
      <c r="A105" s="67" t="inlineStr">
        <is>
          <t>EX104</t>
        </is>
      </c>
      <c r="B105" s="70" t="inlineStr">
        <is>
          <t>EZ-bar skull crusher</t>
        </is>
      </c>
      <c r="C105" s="70" t="inlineStr">
        <is>
          <t>Triceps</t>
        </is>
      </c>
      <c r="D105" s="70" t="inlineStr">
        <is>
          <t>Elbow extension</t>
        </is>
      </c>
      <c r="E105" s="70" t="inlineStr">
        <is>
          <t>EZ curl bar + Barbell plates + Bench</t>
        </is>
      </c>
      <c r="F105" s="70" t="inlineStr">
        <is>
          <t>[["EZ curl bar","Barbell plates","Bench"]]</t>
        </is>
      </c>
      <c r="G105" s="70" t="inlineStr">
        <is>
          <t>[]</t>
        </is>
      </c>
      <c r="H105" s="70" t="inlineStr">
        <is>
          <t>Elbow extension</t>
        </is>
      </c>
      <c r="I105" s="70" t="inlineStr">
        <is>
          <t>Isolation</t>
        </is>
      </c>
      <c r="J105" s="70" t="str"/>
      <c r="K105" s="70" t="inlineStr">
        <is>
          <t>Yes</t>
        </is>
      </c>
      <c r="L105" s="70" t="b">
        <v>0</v>
      </c>
      <c r="M105" s="168" t="n">
        <v>46222.65625</v>
      </c>
    </row>
    <row r="106">
      <c r="A106" s="67" t="inlineStr">
        <is>
          <t>EX105</t>
        </is>
      </c>
      <c r="B106" s="70" t="inlineStr">
        <is>
          <t>Band triceps pushdown</t>
        </is>
      </c>
      <c r="C106" s="70" t="inlineStr">
        <is>
          <t>Triceps</t>
        </is>
      </c>
      <c r="D106" s="70" t="inlineStr">
        <is>
          <t>Elbow extension</t>
        </is>
      </c>
      <c r="E106" s="70" t="inlineStr">
        <is>
          <t>Resistance bands / tubes + High band anchor</t>
        </is>
      </c>
      <c r="F106" s="70" t="inlineStr">
        <is>
          <t>[["Resistance bands / tubes","High band anchor"]]</t>
        </is>
      </c>
      <c r="G106" s="70" t="inlineStr">
        <is>
          <t>[]</t>
        </is>
      </c>
      <c r="H106" s="70" t="inlineStr">
        <is>
          <t>Elbow extension</t>
        </is>
      </c>
      <c r="I106" s="70" t="inlineStr">
        <is>
          <t>Isolation</t>
        </is>
      </c>
      <c r="J106" s="70" t="str"/>
      <c r="K106" s="70" t="inlineStr">
        <is>
          <t>Yes</t>
        </is>
      </c>
      <c r="L106" s="70" t="b">
        <v>0</v>
      </c>
      <c r="M106" s="168" t="n">
        <v>46222.65625</v>
      </c>
    </row>
    <row r="107">
      <c r="A107" s="67" t="inlineStr">
        <is>
          <t>EX106</t>
        </is>
      </c>
      <c r="B107" s="70" t="inlineStr">
        <is>
          <t>Close-grip push-up</t>
        </is>
      </c>
      <c r="C107" s="70" t="inlineStr">
        <is>
          <t>Triceps / Chest</t>
        </is>
      </c>
      <c r="D107" s="70" t="inlineStr">
        <is>
          <t>Horizontal press</t>
        </is>
      </c>
      <c r="E107" s="70" t="inlineStr">
        <is>
          <t>Bodyweight / floor space</t>
        </is>
      </c>
      <c r="F107" s="70" t="inlineStr">
        <is>
          <t>[["Bodyweight / floor space"]]</t>
        </is>
      </c>
      <c r="G107" s="70" t="inlineStr">
        <is>
          <t>["Resistance bands / tubes","Weighted vest"]</t>
        </is>
      </c>
      <c r="H107" s="70" t="inlineStr">
        <is>
          <t>Horizontal press</t>
        </is>
      </c>
      <c r="I107" s="70" t="inlineStr">
        <is>
          <t>Substitution</t>
        </is>
      </c>
      <c r="J107" s="70" t="str"/>
      <c r="K107" s="70" t="inlineStr">
        <is>
          <t>Yes</t>
        </is>
      </c>
      <c r="L107" s="70" t="b">
        <v>0</v>
      </c>
      <c r="M107" s="168" t="n">
        <v>46222.65625</v>
      </c>
    </row>
    <row r="108">
      <c r="A108" s="67" t="inlineStr">
        <is>
          <t>EX107</t>
        </is>
      </c>
      <c r="B108" s="70" t="inlineStr">
        <is>
          <t>Stability-ball crunch</t>
        </is>
      </c>
      <c r="C108" s="70" t="inlineStr">
        <is>
          <t>Abs</t>
        </is>
      </c>
      <c r="D108" s="70" t="inlineStr">
        <is>
          <t>Spinal flexion</t>
        </is>
      </c>
      <c r="E108" s="70" t="inlineStr">
        <is>
          <t>Stability ball</t>
        </is>
      </c>
      <c r="F108" s="70" t="inlineStr">
        <is>
          <t>[["Stability ball"]]</t>
        </is>
      </c>
      <c r="G108" s="70" t="inlineStr">
        <is>
          <t>[]</t>
        </is>
      </c>
      <c r="H108" s="70" t="inlineStr">
        <is>
          <t>Core</t>
        </is>
      </c>
      <c r="I108" s="70" t="inlineStr">
        <is>
          <t>Isolation</t>
        </is>
      </c>
      <c r="J108" s="70" t="str"/>
      <c r="K108" s="70" t="inlineStr">
        <is>
          <t>Yes</t>
        </is>
      </c>
      <c r="L108" s="70" t="b">
        <v>0</v>
      </c>
      <c r="M108" s="168" t="n">
        <v>46222.65625</v>
      </c>
    </row>
    <row r="109">
      <c r="A109" s="67" t="inlineStr">
        <is>
          <t>EX108</t>
        </is>
      </c>
      <c r="B109" s="70" t="inlineStr">
        <is>
          <t>Reverse crunch</t>
        </is>
      </c>
      <c r="C109" s="70" t="inlineStr">
        <is>
          <t>Abs</t>
        </is>
      </c>
      <c r="D109" s="70" t="inlineStr">
        <is>
          <t>Spinal flexion</t>
        </is>
      </c>
      <c r="E109" s="70" t="inlineStr">
        <is>
          <t>Bodyweight / floor space</t>
        </is>
      </c>
      <c r="F109" s="70" t="inlineStr">
        <is>
          <t>[["Bodyweight / floor space"]]</t>
        </is>
      </c>
      <c r="G109" s="70" t="inlineStr">
        <is>
          <t>[]</t>
        </is>
      </c>
      <c r="H109" s="70" t="inlineStr">
        <is>
          <t>Core</t>
        </is>
      </c>
      <c r="I109" s="70" t="inlineStr">
        <is>
          <t>Substitution</t>
        </is>
      </c>
      <c r="J109" s="70" t="str"/>
      <c r="K109" s="70" t="inlineStr">
        <is>
          <t>Yes</t>
        </is>
      </c>
      <c r="L109" s="70" t="b">
        <v>0</v>
      </c>
      <c r="M109" s="168" t="n">
        <v>46222.65625</v>
      </c>
    </row>
    <row r="110">
      <c r="A110" s="67" t="inlineStr">
        <is>
          <t>EX109</t>
        </is>
      </c>
      <c r="B110" s="70" t="inlineStr">
        <is>
          <t>Side plank</t>
        </is>
      </c>
      <c r="C110" s="70" t="inlineStr">
        <is>
          <t>Obliques / Core</t>
        </is>
      </c>
      <c r="D110" s="70" t="inlineStr">
        <is>
          <t>Anti-lateral flexion</t>
        </is>
      </c>
      <c r="E110" s="70" t="inlineStr">
        <is>
          <t>Bodyweight / floor space</t>
        </is>
      </c>
      <c r="F110" s="70" t="inlineStr">
        <is>
          <t>[["Bodyweight / floor space"]]</t>
        </is>
      </c>
      <c r="G110" s="70" t="inlineStr">
        <is>
          <t>[]</t>
        </is>
      </c>
      <c r="H110" s="70" t="inlineStr">
        <is>
          <t>Core</t>
        </is>
      </c>
      <c r="I110" s="70" t="inlineStr">
        <is>
          <t>Substitution</t>
        </is>
      </c>
      <c r="J110" s="70" t="str"/>
      <c r="K110" s="70" t="inlineStr">
        <is>
          <t>Yes</t>
        </is>
      </c>
      <c r="L110" s="70" t="b">
        <v>0</v>
      </c>
      <c r="M110" s="168" t="n">
        <v>46222.65625</v>
      </c>
    </row>
    <row r="111">
      <c r="A111" s="67" t="inlineStr">
        <is>
          <t>EX110</t>
        </is>
      </c>
      <c r="B111" s="70" t="inlineStr">
        <is>
          <t>Farmer carry</t>
        </is>
      </c>
      <c r="C111" s="70" t="inlineStr">
        <is>
          <t>Grip / Traps / Core</t>
        </is>
      </c>
      <c r="D111" s="70" t="inlineStr">
        <is>
          <t>Loaded carry</t>
        </is>
      </c>
      <c r="E111" s="70" t="inlineStr">
        <is>
          <t>Dumbbells OR Kettlebells</t>
        </is>
      </c>
      <c r="F111" s="70" t="inlineStr">
        <is>
          <t>[["Dumbbells"],["Kettlebells"]]</t>
        </is>
      </c>
      <c r="G111" s="70" t="inlineStr">
        <is>
          <t>[]</t>
        </is>
      </c>
      <c r="H111" s="70" t="inlineStr">
        <is>
          <t>Loaded carry</t>
        </is>
      </c>
      <c r="I111" s="70" t="inlineStr">
        <is>
          <t>Substitution</t>
        </is>
      </c>
      <c r="J111" s="70" t="str"/>
      <c r="K111" s="70" t="inlineStr">
        <is>
          <t>Maybe</t>
        </is>
      </c>
      <c r="L111" s="70" t="b">
        <v>0</v>
      </c>
      <c r="M111" s="168" t="n">
        <v>46222.65625</v>
      </c>
    </row>
    <row r="112">
      <c r="A112" s="67" t="inlineStr">
        <is>
          <t>EX111</t>
        </is>
      </c>
      <c r="B112" s="70" t="inlineStr">
        <is>
          <t>Suitcase carry</t>
        </is>
      </c>
      <c r="C112" s="70" t="inlineStr">
        <is>
          <t>Core / Grip</t>
        </is>
      </c>
      <c r="D112" s="70" t="inlineStr">
        <is>
          <t>Loaded carry</t>
        </is>
      </c>
      <c r="E112" s="70" t="inlineStr">
        <is>
          <t>Dumbbells OR Kettlebells</t>
        </is>
      </c>
      <c r="F112" s="70" t="inlineStr">
        <is>
          <t>[["Dumbbells"],["Kettlebells"]]</t>
        </is>
      </c>
      <c r="G112" s="70" t="inlineStr">
        <is>
          <t>[]</t>
        </is>
      </c>
      <c r="H112" s="70" t="inlineStr">
        <is>
          <t>Loaded carry</t>
        </is>
      </c>
      <c r="I112" s="70" t="inlineStr">
        <is>
          <t>Substitution</t>
        </is>
      </c>
      <c r="J112" s="70" t="str"/>
      <c r="K112" s="70" t="inlineStr">
        <is>
          <t>Maybe</t>
        </is>
      </c>
      <c r="L112" s="70" t="b">
        <v>0</v>
      </c>
      <c r="M112" s="168" t="n">
        <v>46222.65625</v>
      </c>
    </row>
    <row r="113">
      <c r="A113" s="67" t="inlineStr">
        <is>
          <t>EX112</t>
        </is>
      </c>
      <c r="B113" s="70" t="inlineStr">
        <is>
          <t>Trap-bar carry</t>
        </is>
      </c>
      <c r="C113" s="70" t="inlineStr">
        <is>
          <t>Grip / Traps / Core</t>
        </is>
      </c>
      <c r="D113" s="70" t="inlineStr">
        <is>
          <t>Loaded carry</t>
        </is>
      </c>
      <c r="E113" s="70" t="inlineStr">
        <is>
          <t>Trap / hex bar + Barbell plates</t>
        </is>
      </c>
      <c r="F113" s="70" t="inlineStr">
        <is>
          <t>[["Trap / hex bar","Barbell plates"]]</t>
        </is>
      </c>
      <c r="G113" s="70" t="inlineStr">
        <is>
          <t>[]</t>
        </is>
      </c>
      <c r="H113" s="70" t="inlineStr">
        <is>
          <t>Loaded carry</t>
        </is>
      </c>
      <c r="I113" s="70" t="inlineStr">
        <is>
          <t>Substitution</t>
        </is>
      </c>
      <c r="J113" s="70" t="str"/>
      <c r="K113" s="70" t="inlineStr">
        <is>
          <t>Maybe</t>
        </is>
      </c>
      <c r="L113" s="70" t="b">
        <v>0</v>
      </c>
      <c r="M113" s="168" t="n">
        <v>46222.65625</v>
      </c>
    </row>
    <row r="114">
      <c r="A114" s="67" t="inlineStr">
        <is>
          <t>EX113</t>
        </is>
      </c>
      <c r="B114" s="70" t="inlineStr">
        <is>
          <t>Rowing machine</t>
        </is>
      </c>
      <c r="C114" s="70" t="inlineStr">
        <is>
          <t>Cardio / Recovery</t>
        </is>
      </c>
      <c r="D114" s="70" t="inlineStr">
        <is>
          <t>Aerobic</t>
        </is>
      </c>
      <c r="E114" s="70" t="inlineStr">
        <is>
          <t>Rowing machine</t>
        </is>
      </c>
      <c r="F114" s="70" t="inlineStr">
        <is>
          <t>[["Rowing machine"]]</t>
        </is>
      </c>
      <c r="G114" s="70" t="inlineStr">
        <is>
          <t>[]</t>
        </is>
      </c>
      <c r="H114" s="70" t="inlineStr">
        <is>
          <t>Cardio</t>
        </is>
      </c>
      <c r="I114" s="70" t="inlineStr">
        <is>
          <t>Conditioning</t>
        </is>
      </c>
      <c r="J114" s="70" t="str"/>
      <c r="K114" s="70" t="inlineStr">
        <is>
          <t>Maybe</t>
        </is>
      </c>
      <c r="L114" s="70" t="b">
        <v>0</v>
      </c>
      <c r="M114" s="168" t="n">
        <v>46222.65625</v>
      </c>
    </row>
    <row r="115">
      <c r="A115" s="67" t="inlineStr">
        <is>
          <t>EX114</t>
        </is>
      </c>
      <c r="B115" s="70" t="inlineStr">
        <is>
          <t>Elliptical</t>
        </is>
      </c>
      <c r="C115" s="70" t="inlineStr">
        <is>
          <t>Cardio / Recovery</t>
        </is>
      </c>
      <c r="D115" s="70" t="inlineStr">
        <is>
          <t>Aerobic</t>
        </is>
      </c>
      <c r="E115" s="70" t="inlineStr">
        <is>
          <t>Elliptical / cross trainer</t>
        </is>
      </c>
      <c r="F115" s="70" t="inlineStr">
        <is>
          <t>[["Elliptical / cross trainer"]]</t>
        </is>
      </c>
      <c r="G115" s="70" t="inlineStr">
        <is>
          <t>[]</t>
        </is>
      </c>
      <c r="H115" s="70" t="inlineStr">
        <is>
          <t>Cardio</t>
        </is>
      </c>
      <c r="I115" s="70" t="inlineStr">
        <is>
          <t>Conditioning</t>
        </is>
      </c>
      <c r="J115" s="70" t="str"/>
      <c r="K115" s="70" t="inlineStr">
        <is>
          <t>Yes</t>
        </is>
      </c>
      <c r="L115" s="70" t="b">
        <v>0</v>
      </c>
      <c r="M115" s="168" t="n">
        <v>46222.65625</v>
      </c>
    </row>
    <row r="116">
      <c r="A116" s="67" t="inlineStr">
        <is>
          <t>EX115</t>
        </is>
      </c>
      <c r="B116" s="70" t="inlineStr">
        <is>
          <t>Jump rope</t>
        </is>
      </c>
      <c r="C116" s="70" t="inlineStr">
        <is>
          <t>Cardio / Calves</t>
        </is>
      </c>
      <c r="D116" s="70" t="inlineStr">
        <is>
          <t>Conditioning</t>
        </is>
      </c>
      <c r="E116" s="70" t="inlineStr">
        <is>
          <t>Jump rope</t>
        </is>
      </c>
      <c r="F116" s="70" t="inlineStr">
        <is>
          <t>[["Jump rope"]]</t>
        </is>
      </c>
      <c r="G116" s="70" t="inlineStr">
        <is>
          <t>[]</t>
        </is>
      </c>
      <c r="H116" s="70" t="inlineStr">
        <is>
          <t>Conditioning</t>
        </is>
      </c>
      <c r="I116" s="70" t="inlineStr">
        <is>
          <t>Conditioning</t>
        </is>
      </c>
      <c r="J116" s="70" t="str"/>
      <c r="K116" s="70" t="inlineStr">
        <is>
          <t>Maybe</t>
        </is>
      </c>
      <c r="L116" s="70" t="b">
        <v>0</v>
      </c>
      <c r="M116" s="168" t="n">
        <v>46222.65625</v>
      </c>
    </row>
    <row r="117">
      <c r="A117" s="67" t="inlineStr">
        <is>
          <t>EX116</t>
        </is>
      </c>
      <c r="B117" s="70" t="inlineStr">
        <is>
          <t>Sled push</t>
        </is>
      </c>
      <c r="C117" s="70" t="inlineStr">
        <is>
          <t>Quads / Conditioning</t>
        </is>
      </c>
      <c r="D117" s="70" t="inlineStr">
        <is>
          <t>Conditioning</t>
        </is>
      </c>
      <c r="E117" s="70" t="inlineStr">
        <is>
          <t>Weight sled / prowler</t>
        </is>
      </c>
      <c r="F117" s="70" t="inlineStr">
        <is>
          <t>[["Weight sled / prowler"]]</t>
        </is>
      </c>
      <c r="G117" s="70" t="inlineStr">
        <is>
          <t>[]</t>
        </is>
      </c>
      <c r="H117" s="70" t="inlineStr">
        <is>
          <t>Conditioning</t>
        </is>
      </c>
      <c r="I117" s="70" t="inlineStr">
        <is>
          <t>Conditioning</t>
        </is>
      </c>
      <c r="J117" s="70" t="str"/>
      <c r="K117" s="70" t="inlineStr">
        <is>
          <t>Maybe</t>
        </is>
      </c>
      <c r="L117" s="70" t="b">
        <v>0</v>
      </c>
      <c r="M117" s="168" t="n">
        <v>46222.65625</v>
      </c>
    </row>
    <row r="118">
      <c r="A118" s="67" t="inlineStr">
        <is>
          <t>EX117</t>
        </is>
      </c>
      <c r="B118" s="70" t="inlineStr">
        <is>
          <t>Medicine-ball slam</t>
        </is>
      </c>
      <c r="C118" s="70" t="inlineStr">
        <is>
          <t>Full body / Conditioning</t>
        </is>
      </c>
      <c r="D118" s="70" t="inlineStr">
        <is>
          <t>Conditioning</t>
        </is>
      </c>
      <c r="E118" s="70" t="inlineStr">
        <is>
          <t>Medicine ball</t>
        </is>
      </c>
      <c r="F118" s="70" t="inlineStr">
        <is>
          <t>[["Medicine ball"]]</t>
        </is>
      </c>
      <c r="G118" s="70" t="inlineStr">
        <is>
          <t>[]</t>
        </is>
      </c>
      <c r="H118" s="70" t="inlineStr">
        <is>
          <t>Conditioning</t>
        </is>
      </c>
      <c r="I118" s="70" t="inlineStr">
        <is>
          <t>Conditioning</t>
        </is>
      </c>
      <c r="J118" s="70" t="str"/>
      <c r="K118" s="70" t="inlineStr">
        <is>
          <t>Maybe</t>
        </is>
      </c>
      <c r="L118" s="70" t="b">
        <v>0</v>
      </c>
      <c r="M118" s="168" t="n">
        <v>46222.65625</v>
      </c>
    </row>
    <row r="119">
      <c r="A119" s="67" t="inlineStr">
        <is>
          <t>EX118</t>
        </is>
      </c>
      <c r="B119" s="70" t="inlineStr">
        <is>
          <t>Sandbag carry</t>
        </is>
      </c>
      <c r="C119" s="70" t="inlineStr">
        <is>
          <t>Full body / Grip</t>
        </is>
      </c>
      <c r="D119" s="70" t="inlineStr">
        <is>
          <t>Loaded carry</t>
        </is>
      </c>
      <c r="E119" s="70" t="inlineStr">
        <is>
          <t>Sandbag</t>
        </is>
      </c>
      <c r="F119" s="70" t="inlineStr">
        <is>
          <t>[["Sandbag"]]</t>
        </is>
      </c>
      <c r="G119" s="70" t="inlineStr">
        <is>
          <t>[]</t>
        </is>
      </c>
      <c r="H119" s="70" t="inlineStr">
        <is>
          <t>Loaded carry</t>
        </is>
      </c>
      <c r="I119" s="70" t="inlineStr">
        <is>
          <t>Conditioning</t>
        </is>
      </c>
      <c r="J119" s="70" t="str"/>
      <c r="K119" s="70" t="inlineStr">
        <is>
          <t>Maybe</t>
        </is>
      </c>
      <c r="L119" s="70" t="b">
        <v>0</v>
      </c>
      <c r="M119" s="168" t="n">
        <v>46222.65625</v>
      </c>
    </row>
    <row r="120">
      <c r="A120" s="67" t="inlineStr">
        <is>
          <t>EX119</t>
        </is>
      </c>
      <c r="B120" s="70" t="inlineStr">
        <is>
          <t>Kettlebell goblet squat</t>
        </is>
      </c>
      <c r="C120" s="70" t="inlineStr">
        <is>
          <t>Quads / Glutes</t>
        </is>
      </c>
      <c r="D120" s="70" t="inlineStr">
        <is>
          <t>Squat</t>
        </is>
      </c>
      <c r="E120" s="70" t="inlineStr">
        <is>
          <t>Kettlebells</t>
        </is>
      </c>
      <c r="F120" s="70" t="inlineStr">
        <is>
          <t>[["Kettlebells"]]</t>
        </is>
      </c>
      <c r="G120" s="70" t="inlineStr">
        <is>
          <t>[]</t>
        </is>
      </c>
      <c r="H120" s="70" t="inlineStr">
        <is>
          <t>Squat</t>
        </is>
      </c>
      <c r="I120" s="70" t="inlineStr">
        <is>
          <t>Substitution</t>
        </is>
      </c>
      <c r="J120" s="70" t="str"/>
      <c r="K120" s="70" t="inlineStr">
        <is>
          <t>Yes</t>
        </is>
      </c>
      <c r="L120" s="70" t="b">
        <v>0</v>
      </c>
      <c r="M120" s="168" t="n">
        <v>46222.65625</v>
      </c>
    </row>
    <row r="121">
      <c r="A121" s="67" t="inlineStr">
        <is>
          <t>EX120</t>
        </is>
      </c>
      <c r="B121" s="70" t="inlineStr">
        <is>
          <t>Slant-board squat</t>
        </is>
      </c>
      <c r="C121" s="70" t="inlineStr">
        <is>
          <t>Quads</t>
        </is>
      </c>
      <c r="D121" s="70" t="inlineStr">
        <is>
          <t>Squat</t>
        </is>
      </c>
      <c r="E121" s="70" t="inlineStr">
        <is>
          <t>Slant board / heel wedge</t>
        </is>
      </c>
      <c r="F121" s="70" t="inlineStr">
        <is>
          <t>[["Slant board / heel wedge"]]</t>
        </is>
      </c>
      <c r="G121" s="70" t="inlineStr">
        <is>
          <t>["Dumbbells","Kettlebells","Weighted vest"]</t>
        </is>
      </c>
      <c r="H121" s="70" t="inlineStr">
        <is>
          <t>Squat</t>
        </is>
      </c>
      <c r="I121" s="70" t="inlineStr">
        <is>
          <t>Substitution</t>
        </is>
      </c>
      <c r="J121" s="70" t="str"/>
      <c r="K121" s="70" t="inlineStr">
        <is>
          <t>Yes</t>
        </is>
      </c>
      <c r="L121" s="70" t="b">
        <v>0</v>
      </c>
      <c r="M121" s="168" t="n">
        <v>46222.65625</v>
      </c>
    </row>
    <row r="122">
      <c r="A122" s="67" t="inlineStr">
        <is>
          <t>EX121</t>
        </is>
      </c>
      <c r="B122" s="70" t="inlineStr">
        <is>
          <t>Smith-machine hip thrust</t>
        </is>
      </c>
      <c r="C122" s="70" t="inlineStr">
        <is>
          <t>Glutes / Hamstrings</t>
        </is>
      </c>
      <c r="D122" s="70" t="inlineStr">
        <is>
          <t>Hip extension</t>
        </is>
      </c>
      <c r="E122" s="70" t="inlineStr">
        <is>
          <t>Smith machine + Bench</t>
        </is>
      </c>
      <c r="F122" s="70" t="inlineStr">
        <is>
          <t>[["Smith machine","Bench"]]</t>
        </is>
      </c>
      <c r="G122" s="70" t="inlineStr">
        <is>
          <t>[]</t>
        </is>
      </c>
      <c r="H122" s="70" t="inlineStr">
        <is>
          <t>Hip extension</t>
        </is>
      </c>
      <c r="I122" s="70" t="inlineStr">
        <is>
          <t>Main lift</t>
        </is>
      </c>
      <c r="J122" s="70" t="str"/>
      <c r="K122" s="70" t="inlineStr">
        <is>
          <t>Yes</t>
        </is>
      </c>
      <c r="L122" s="70" t="b">
        <v>0</v>
      </c>
      <c r="M122" s="168" t="n">
        <v>46222.65625</v>
      </c>
    </row>
    <row r="123">
      <c r="A123" s="67" t="inlineStr">
        <is>
          <t>EX122</t>
        </is>
      </c>
      <c r="B123" s="70" t="inlineStr">
        <is>
          <t>Swiss-bar bench press</t>
        </is>
      </c>
      <c r="C123" s="70" t="inlineStr">
        <is>
          <t>Chest / Triceps</t>
        </is>
      </c>
      <c r="D123" s="70" t="inlineStr">
        <is>
          <t>Horizontal press</t>
        </is>
      </c>
      <c r="E123" s="70" t="inlineStr">
        <is>
          <t>Power rack / squat stands + Swiss / football bar + Barbell plates + Bench</t>
        </is>
      </c>
      <c r="F123" s="70" t="inlineStr">
        <is>
          <t>[["Power rack / squat stands","Swiss / football bar","Barbell plates","Bench"]]</t>
        </is>
      </c>
      <c r="G123" s="70" t="inlineStr">
        <is>
          <t>[]</t>
        </is>
      </c>
      <c r="H123" s="70" t="inlineStr">
        <is>
          <t>Horizontal press</t>
        </is>
      </c>
      <c r="I123" s="70" t="inlineStr">
        <is>
          <t>Main lift</t>
        </is>
      </c>
      <c r="J123" s="70" t="inlineStr">
        <is>
          <t>Neutral grips may be shoulder friendly.</t>
        </is>
      </c>
      <c r="K123" s="70" t="inlineStr">
        <is>
          <t>Yes</t>
        </is>
      </c>
      <c r="L123" s="70" t="b">
        <v>0</v>
      </c>
      <c r="M123" s="168" t="n">
        <v>46222.65625</v>
      </c>
    </row>
    <row r="124">
      <c r="A124" s="67" t="inlineStr">
        <is>
          <t>EX123</t>
        </is>
      </c>
      <c r="B124" s="70" t="inlineStr">
        <is>
          <t>Band Pallof press</t>
        </is>
      </c>
      <c r="C124" s="70" t="inlineStr">
        <is>
          <t>Core</t>
        </is>
      </c>
      <c r="D124" s="70" t="inlineStr">
        <is>
          <t>Anti-rotation</t>
        </is>
      </c>
      <c r="E124" s="70" t="inlineStr">
        <is>
          <t>Resistance bands / tubes + Secure band anchor</t>
        </is>
      </c>
      <c r="F124" s="70" t="inlineStr">
        <is>
          <t>[["Resistance bands / tubes","Secure band anchor"]]</t>
        </is>
      </c>
      <c r="G124" s="70" t="inlineStr">
        <is>
          <t>[]</t>
        </is>
      </c>
      <c r="H124" s="70" t="inlineStr">
        <is>
          <t>Core</t>
        </is>
      </c>
      <c r="I124" s="70" t="inlineStr">
        <is>
          <t>Substitution</t>
        </is>
      </c>
      <c r="J124" s="70" t="str"/>
      <c r="K124" s="70" t="inlineStr">
        <is>
          <t>Yes</t>
        </is>
      </c>
      <c r="L124" s="70" t="b">
        <v>0</v>
      </c>
      <c r="M124" s="168" t="n">
        <v>46222.65625</v>
      </c>
    </row>
    <row r="125">
      <c r="A125" s="67" t="inlineStr">
        <is>
          <t>EX124</t>
        </is>
      </c>
      <c r="B125" s="70" t="inlineStr">
        <is>
          <t>Dead bug or Pallof press</t>
        </is>
      </c>
      <c r="C125" s="70" t="inlineStr">
        <is>
          <t>Core</t>
        </is>
      </c>
      <c r="D125" s="70" t="inlineStr">
        <is>
          <t>Anti-extension / anti-rotation</t>
        </is>
      </c>
      <c r="E125" s="70" t="inlineStr">
        <is>
          <t>Bodyweight / floor space OR Cable station OR Resistance bands / tubes + Secure band anchor</t>
        </is>
      </c>
      <c r="F125" s="70" t="inlineStr">
        <is>
          <t>[["Bodyweight / floor space"],["Cable station"],["Resistance bands / tubes","Secure band anchor"]]</t>
        </is>
      </c>
      <c r="G125" s="70" t="inlineStr">
        <is>
          <t>[]</t>
        </is>
      </c>
      <c r="H125" s="70" t="inlineStr">
        <is>
          <t>Core</t>
        </is>
      </c>
      <c r="I125" s="70" t="inlineStr">
        <is>
          <t>Substitution</t>
        </is>
      </c>
      <c r="J125" s="70" t="str"/>
      <c r="K125" s="70" t="inlineStr">
        <is>
          <t>Yes</t>
        </is>
      </c>
      <c r="L125" s="70" t="b">
        <v>0</v>
      </c>
      <c r="M125" s="168" t="n">
        <v>46222.65625</v>
      </c>
    </row>
    <row r="126">
      <c r="A126" s="67" t="inlineStr">
        <is>
          <t>EX125</t>
        </is>
      </c>
      <c r="B126" s="70" t="inlineStr">
        <is>
          <t>Cable lat pulldown or ring chin-up</t>
        </is>
      </c>
      <c r="C126" s="70" t="inlineStr">
        <is>
          <t>Lats / Biceps</t>
        </is>
      </c>
      <c r="D126" s="70" t="inlineStr">
        <is>
          <t>Vertical pull</t>
        </is>
      </c>
      <c r="E126" s="70" t="inlineStr">
        <is>
          <t>Cable station OR Lat pulldown / low row machine OR Gymnastic rings / suspension trainer</t>
        </is>
      </c>
      <c r="F126" s="70" t="inlineStr">
        <is>
          <t>[["Cable station"],["Lat pulldown / low row machine"],["Gymnastic rings / suspension trainer"]]</t>
        </is>
      </c>
      <c r="G126" s="70" t="inlineStr">
        <is>
          <t>[]</t>
        </is>
      </c>
      <c r="H126" s="70" t="inlineStr">
        <is>
          <t>Vertical pull</t>
        </is>
      </c>
      <c r="I126" s="70" t="inlineStr">
        <is>
          <t>Substitution</t>
        </is>
      </c>
      <c r="J126" s="70" t="str"/>
      <c r="K126" s="70" t="inlineStr">
        <is>
          <t>Yes</t>
        </is>
      </c>
      <c r="L126" s="70" t="b">
        <v>0</v>
      </c>
      <c r="M126" s="168" t="n">
        <v>46222.65625</v>
      </c>
    </row>
    <row r="127">
      <c r="A127" s="67" t="inlineStr">
        <is>
          <t>EX126</t>
        </is>
      </c>
      <c r="B127" s="70" t="inlineStr">
        <is>
          <t>Incline dumbbell or cable curl</t>
        </is>
      </c>
      <c r="C127" s="70" t="inlineStr">
        <is>
          <t>Biceps</t>
        </is>
      </c>
      <c r="D127" s="70" t="inlineStr">
        <is>
          <t>Elbow flexion</t>
        </is>
      </c>
      <c r="E127" s="70" t="inlineStr">
        <is>
          <t>Dumbbells + Adjustable bench OR Cable station</t>
        </is>
      </c>
      <c r="F127" s="70" t="inlineStr">
        <is>
          <t>[["Dumbbells","Adjustable bench"],["Cable station"]]</t>
        </is>
      </c>
      <c r="G127" s="70" t="inlineStr">
        <is>
          <t>[]</t>
        </is>
      </c>
      <c r="H127" s="70" t="inlineStr">
        <is>
          <t>Elbow flexion</t>
        </is>
      </c>
      <c r="I127" s="70" t="inlineStr">
        <is>
          <t>Isolation</t>
        </is>
      </c>
      <c r="J127" s="70" t="str"/>
      <c r="K127" s="70" t="inlineStr">
        <is>
          <t>Yes</t>
        </is>
      </c>
      <c r="L127" s="70" t="b">
        <v>0</v>
      </c>
      <c r="M127" s="168" t="n">
        <v>46222.65625</v>
      </c>
    </row>
    <row r="128">
      <c r="A128" s="67" t="inlineStr">
        <is>
          <t>EX127</t>
        </is>
      </c>
      <c r="B128" s="70" t="inlineStr">
        <is>
          <t>Front squat or heels-elevated squat</t>
        </is>
      </c>
      <c r="C128" s="70" t="inlineStr">
        <is>
          <t>Quads / Glutes</t>
        </is>
      </c>
      <c r="D128" s="70" t="inlineStr">
        <is>
          <t>Squat</t>
        </is>
      </c>
      <c r="E128" s="70" t="inlineStr">
        <is>
          <t>Power rack / squat stands + Barbell + plates OR Dumbbells</t>
        </is>
      </c>
      <c r="F128" s="70" t="inlineStr">
        <is>
          <t>[["Power rack / squat stands","Barbell + plates"],["Dumbbells"]]</t>
        </is>
      </c>
      <c r="G128" s="70" t="inlineStr">
        <is>
          <t>["Slant board / heel wedge"]</t>
        </is>
      </c>
      <c r="H128" s="70" t="inlineStr">
        <is>
          <t>Squat</t>
        </is>
      </c>
      <c r="I128" s="70" t="inlineStr">
        <is>
          <t>Main lift</t>
        </is>
      </c>
      <c r="J128" s="70" t="str"/>
      <c r="K128" s="70" t="inlineStr">
        <is>
          <t>Yes</t>
        </is>
      </c>
      <c r="L128" s="70" t="b">
        <v>0</v>
      </c>
      <c r="M128" s="168" t="n">
        <v>46222.65625</v>
      </c>
    </row>
    <row r="129">
      <c r="A129" s="67" t="inlineStr">
        <is>
          <t>EX128</t>
        </is>
      </c>
      <c r="B129" s="70" t="inlineStr">
        <is>
          <t>Ab wheel or cable crunch</t>
        </is>
      </c>
      <c r="C129" s="70" t="inlineStr">
        <is>
          <t>Abs / Core</t>
        </is>
      </c>
      <c r="D129" s="70" t="inlineStr">
        <is>
          <t>Core</t>
        </is>
      </c>
      <c r="E129" s="70" t="inlineStr">
        <is>
          <t>Ab wheel OR Cable station</t>
        </is>
      </c>
      <c r="F129" s="70" t="inlineStr">
        <is>
          <t>[["Ab wheel"],["Cable station"]]</t>
        </is>
      </c>
      <c r="G129" s="70" t="inlineStr">
        <is>
          <t>[]</t>
        </is>
      </c>
      <c r="H129" s="70" t="inlineStr">
        <is>
          <t>Core</t>
        </is>
      </c>
      <c r="I129" s="70" t="inlineStr">
        <is>
          <t>Substitution</t>
        </is>
      </c>
      <c r="J129" s="70" t="str"/>
      <c r="K129" s="70" t="inlineStr">
        <is>
          <t>Yes</t>
        </is>
      </c>
      <c r="L129" s="70" t="b">
        <v>0</v>
      </c>
      <c r="M129" s="168" t="n">
        <v>46222.65625</v>
      </c>
    </row>
    <row r="130">
      <c r="A130" s="67" t="inlineStr">
        <is>
          <t>EX129</t>
        </is>
      </c>
      <c r="B130" s="70" t="inlineStr">
        <is>
          <t>Weighted chin-up or heavy pulldown</t>
        </is>
      </c>
      <c r="C130" s="70" t="inlineStr">
        <is>
          <t>Lats / Biceps</t>
        </is>
      </c>
      <c r="D130" s="70" t="inlineStr">
        <is>
          <t>Vertical pull</t>
        </is>
      </c>
      <c r="E130" s="70" t="inlineStr">
        <is>
          <t>Pull-up bar + Dip belt / loading belt OR Cable station OR Lat pulldown / low row machine</t>
        </is>
      </c>
      <c r="F130" s="70" t="inlineStr">
        <is>
          <t>[["Pull-up bar","Dip belt / loading belt"],["Cable station"],["Lat pulldown / low row machine"]]</t>
        </is>
      </c>
      <c r="G130" s="70" t="inlineStr">
        <is>
          <t>[]</t>
        </is>
      </c>
      <c r="H130" s="70" t="inlineStr">
        <is>
          <t>Vertical pull</t>
        </is>
      </c>
      <c r="I130" s="70" t="inlineStr">
        <is>
          <t>Main lift</t>
        </is>
      </c>
      <c r="J130" s="70" t="str"/>
      <c r="K130" s="70" t="inlineStr">
        <is>
          <t>Yes</t>
        </is>
      </c>
      <c r="L130" s="70" t="b">
        <v>0</v>
      </c>
      <c r="M130" s="168" t="n">
        <v>46222.65625</v>
      </c>
    </row>
    <row r="131">
      <c r="A131" s="67" t="inlineStr">
        <is>
          <t>EX130</t>
        </is>
      </c>
      <c r="B131" s="70" t="inlineStr">
        <is>
          <t>Close-grip bench press or weighted ring push-up</t>
        </is>
      </c>
      <c r="C131" s="70" t="inlineStr">
        <is>
          <t>Triceps / Chest</t>
        </is>
      </c>
      <c r="D131" s="70" t="inlineStr">
        <is>
          <t>Horizontal press</t>
        </is>
      </c>
      <c r="E131" s="70" t="inlineStr">
        <is>
          <t>Power rack / squat stands + Barbell + plates + Bench OR Gymnastic rings / suspension trainer</t>
        </is>
      </c>
      <c r="F131" s="70" t="inlineStr">
        <is>
          <t>[["Power rack / squat stands","Barbell + plates","Bench"],["Gymnastic rings / suspension trainer"]]</t>
        </is>
      </c>
      <c r="G131" s="70" t="inlineStr">
        <is>
          <t>[]</t>
        </is>
      </c>
      <c r="H131" s="70" t="inlineStr">
        <is>
          <t>Horizontal press</t>
        </is>
      </c>
      <c r="I131" s="70" t="inlineStr">
        <is>
          <t>Substitution</t>
        </is>
      </c>
      <c r="J131" s="70" t="str"/>
      <c r="K131" s="70" t="inlineStr">
        <is>
          <t>Yes</t>
        </is>
      </c>
      <c r="L131" s="70" t="b">
        <v>0</v>
      </c>
      <c r="M131" s="168" t="n">
        <v>46222.65625</v>
      </c>
    </row>
    <row r="132">
      <c r="A132" s="67" t="inlineStr">
        <is>
          <t>EX131</t>
        </is>
      </c>
      <c r="B132" s="70" t="inlineStr">
        <is>
          <t>Cable rear-delt fly or face pull</t>
        </is>
      </c>
      <c r="C132" s="70" t="inlineStr">
        <is>
          <t>Rear delts / Upper back</t>
        </is>
      </c>
      <c r="D132" s="70" t="inlineStr">
        <is>
          <t>Rear delt</t>
        </is>
      </c>
      <c r="E132" s="70" t="inlineStr">
        <is>
          <t>Cable station OR Cable station + Rope cable attachment</t>
        </is>
      </c>
      <c r="F132" s="70" t="inlineStr">
        <is>
          <t>[["Cable station"],["Cable station","Rope cable attachment"]]</t>
        </is>
      </c>
      <c r="G132" s="70" t="inlineStr">
        <is>
          <t>[]</t>
        </is>
      </c>
      <c r="H132" s="70" t="inlineStr">
        <is>
          <t>Rear delt</t>
        </is>
      </c>
      <c r="I132" s="70" t="inlineStr">
        <is>
          <t>Isolation</t>
        </is>
      </c>
      <c r="J132" s="70" t="str"/>
      <c r="K132" s="70" t="inlineStr">
        <is>
          <t>Yes</t>
        </is>
      </c>
      <c r="L132" s="70" t="b">
        <v>0</v>
      </c>
      <c r="M132" s="168" t="n">
        <v>46222.65625</v>
      </c>
    </row>
    <row r="133">
      <c r="A133" s="67" t="inlineStr">
        <is>
          <t>EX132</t>
        </is>
      </c>
      <c r="B133" s="70" t="inlineStr">
        <is>
          <t>Romanian deadlift or hip thrust</t>
        </is>
      </c>
      <c r="C133" s="70" t="inlineStr">
        <is>
          <t>Hamstrings / Glutes</t>
        </is>
      </c>
      <c r="D133" s="70" t="inlineStr">
        <is>
          <t>Hip hinge / extension</t>
        </is>
      </c>
      <c r="E133" s="70" t="inlineStr">
        <is>
          <t>Barbell + plates OR Dumbbells OR Kettlebells OR Barbell + plates + Bench OR Smith machine + Bench</t>
        </is>
      </c>
      <c r="F133" s="70" t="inlineStr">
        <is>
          <t>[["Barbell + plates"],["Dumbbells"],["Kettlebells"],["Barbell + plates","Bench"],["Smith machine","Bench"]]</t>
        </is>
      </c>
      <c r="G133" s="70" t="inlineStr">
        <is>
          <t>[]</t>
        </is>
      </c>
      <c r="H133" s="70" t="inlineStr">
        <is>
          <t>Hip hinge</t>
        </is>
      </c>
      <c r="I133" s="70" t="inlineStr">
        <is>
          <t>Main lift</t>
        </is>
      </c>
      <c r="J133" s="70" t="str"/>
      <c r="K133" s="70" t="inlineStr">
        <is>
          <t>Yes</t>
        </is>
      </c>
      <c r="L133" s="70" t="b">
        <v>0</v>
      </c>
      <c r="M133" s="168" t="n">
        <v>46222.65625</v>
      </c>
    </row>
    <row r="134">
      <c r="A134" s="67" t="inlineStr">
        <is>
          <t>EX133</t>
        </is>
      </c>
      <c r="B134" s="70" t="inlineStr">
        <is>
          <t>Front squat or Bulgarian split squat</t>
        </is>
      </c>
      <c r="C134" s="70" t="inlineStr">
        <is>
          <t>Quads / Glutes</t>
        </is>
      </c>
      <c r="D134" s="70" t="inlineStr">
        <is>
          <t>Squat / single-leg</t>
        </is>
      </c>
      <c r="E134" s="70" t="inlineStr">
        <is>
          <t>Power rack / squat stands + Barbell + plates OR Bench or box</t>
        </is>
      </c>
      <c r="F134" s="70" t="inlineStr">
        <is>
          <t>[["Power rack / squat stands","Barbell + plates"],["Bench or box"]]</t>
        </is>
      </c>
      <c r="G134" s="70" t="inlineStr">
        <is>
          <t>["Dumbbells"]</t>
        </is>
      </c>
      <c r="H134" s="70" t="inlineStr">
        <is>
          <t>Squat</t>
        </is>
      </c>
      <c r="I134" s="70" t="inlineStr">
        <is>
          <t>Main lift</t>
        </is>
      </c>
      <c r="J134" s="70" t="str"/>
      <c r="K134" s="70" t="inlineStr">
        <is>
          <t>Yes</t>
        </is>
      </c>
      <c r="L134" s="70" t="b">
        <v>0</v>
      </c>
      <c r="M134" s="168" t="n">
        <v>46222.65625</v>
      </c>
    </row>
    <row r="135">
      <c r="A135" s="67" t="inlineStr">
        <is>
          <t>EX134</t>
        </is>
      </c>
      <c r="B135" s="70" t="inlineStr">
        <is>
          <t>Pulldown or chin-up</t>
        </is>
      </c>
      <c r="C135" s="70" t="inlineStr">
        <is>
          <t>Lats / Biceps</t>
        </is>
      </c>
      <c r="D135" s="70" t="inlineStr">
        <is>
          <t>Vertical pull</t>
        </is>
      </c>
      <c r="E135" s="70" t="inlineStr">
        <is>
          <t>Cable station OR Lat pulldown / low row machine OR Pull-up bar OR Gymnastic rings / suspension trainer</t>
        </is>
      </c>
      <c r="F135" s="70" t="inlineStr">
        <is>
          <t>[["Cable station"],["Lat pulldown / low row machine"],["Pull-up bar"],["Gymnastic rings / suspension trainer"]]</t>
        </is>
      </c>
      <c r="G135" s="70" t="inlineStr">
        <is>
          <t>[]</t>
        </is>
      </c>
      <c r="H135" s="70" t="inlineStr">
        <is>
          <t>Vertical pull</t>
        </is>
      </c>
      <c r="I135" s="70" t="inlineStr">
        <is>
          <t>Substitution</t>
        </is>
      </c>
      <c r="J135" s="70" t="str"/>
      <c r="K135" s="70" t="inlineStr">
        <is>
          <t>Yes</t>
        </is>
      </c>
      <c r="L135" s="70" t="b">
        <v>0</v>
      </c>
      <c r="M135" s="168" t="n">
        <v>46222.65625</v>
      </c>
    </row>
    <row r="136">
      <c r="A136" s="67" t="inlineStr">
        <is>
          <t>EX135</t>
        </is>
      </c>
      <c r="B136" s="70" t="inlineStr">
        <is>
          <t>Hip thrust or cable leg curl</t>
        </is>
      </c>
      <c r="C136" s="70" t="inlineStr">
        <is>
          <t>Glutes / Hamstrings</t>
        </is>
      </c>
      <c r="D136" s="70" t="inlineStr">
        <is>
          <t>Hip extension / knee flexion</t>
        </is>
      </c>
      <c r="E136" s="70" t="inlineStr">
        <is>
          <t>Barbell + plates + Bench OR Smith machine + Bench OR Cable station + Ankle strap OR Leg curl machine</t>
        </is>
      </c>
      <c r="F136" s="70" t="inlineStr">
        <is>
          <t>[["Barbell + plates","Bench"],["Smith machine","Bench"],["Cable station","Ankle strap"],["Leg curl machine"]]</t>
        </is>
      </c>
      <c r="G136" s="70" t="inlineStr">
        <is>
          <t>[]</t>
        </is>
      </c>
      <c r="H136" s="70" t="inlineStr">
        <is>
          <t>Hip extension</t>
        </is>
      </c>
      <c r="I136" s="70" t="inlineStr">
        <is>
          <t>Substitution</t>
        </is>
      </c>
      <c r="J136" s="70" t="str"/>
      <c r="K136" s="70" t="inlineStr">
        <is>
          <t>Yes</t>
        </is>
      </c>
      <c r="L136" s="70" t="b">
        <v>0</v>
      </c>
      <c r="M136" s="168" t="n">
        <v>46222.65625</v>
      </c>
    </row>
    <row r="137">
      <c r="A137" s="67" t="inlineStr">
        <is>
          <t>EX136</t>
        </is>
      </c>
      <c r="B137" s="70" t="inlineStr">
        <is>
          <t>Hammer curl</t>
        </is>
      </c>
      <c r="C137" s="70" t="inlineStr">
        <is>
          <t>Biceps / Brachialis</t>
        </is>
      </c>
      <c r="D137" s="70" t="inlineStr">
        <is>
          <t>Elbow flexion</t>
        </is>
      </c>
      <c r="E137" s="70" t="inlineStr">
        <is>
          <t>Dumbbells OR Cable station OR Resistance bands / tubes</t>
        </is>
      </c>
      <c r="F137" s="70" t="inlineStr">
        <is>
          <t>[["Dumbbells"],["Cable station"],["Resistance bands / tubes"]]</t>
        </is>
      </c>
      <c r="G137" s="70" t="inlineStr">
        <is>
          <t>[]</t>
        </is>
      </c>
      <c r="H137" s="70" t="inlineStr">
        <is>
          <t>Elbow flexion</t>
        </is>
      </c>
      <c r="I137" s="70" t="inlineStr">
        <is>
          <t>Isolation</t>
        </is>
      </c>
      <c r="J137" s="70" t="str"/>
      <c r="K137" s="70" t="inlineStr">
        <is>
          <t>Yes</t>
        </is>
      </c>
      <c r="L137" s="70" t="b">
        <v>0</v>
      </c>
      <c r="M137" s="168" t="n">
        <v>46222.65625</v>
      </c>
    </row>
    <row r="138">
      <c r="A138" s="77" t="inlineStr">
        <is>
          <t>EX137</t>
        </is>
      </c>
      <c r="B138" s="81" t="inlineStr">
        <is>
          <t>Overhead triceps extension</t>
        </is>
      </c>
      <c r="C138" s="81" t="inlineStr">
        <is>
          <t>Triceps long head</t>
        </is>
      </c>
      <c r="D138" s="81" t="inlineStr">
        <is>
          <t>Elbow extension</t>
        </is>
      </c>
      <c r="E138" s="81" t="inlineStr">
        <is>
          <t>Cable station + Rope cable attachment OR Dumbbells OR EZ curl bar + Barbell plates + Bench OR Resistance bands / tubes + High band anchor</t>
        </is>
      </c>
      <c r="F138" s="81" t="inlineStr">
        <is>
          <t>[["Cable station","Rope cable attachment"],["Dumbbells"],["EZ curl bar","Barbell plates","Bench"],["Resistance bands / tubes","High band anchor"]]</t>
        </is>
      </c>
      <c r="G138" s="81" t="inlineStr">
        <is>
          <t>[]</t>
        </is>
      </c>
      <c r="H138" s="81" t="inlineStr">
        <is>
          <t>Elbow extension</t>
        </is>
      </c>
      <c r="I138" s="81" t="inlineStr">
        <is>
          <t>Isolation</t>
        </is>
      </c>
      <c r="J138" s="81" t="str"/>
      <c r="K138" s="81" t="inlineStr">
        <is>
          <t>Yes</t>
        </is>
      </c>
      <c r="L138" s="81" t="b">
        <v>0</v>
      </c>
      <c r="M138" s="169" t="n">
        <v>46222.65625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62"/>
  <sheetViews>
    <sheetView workbookViewId="0">
      <selection activeCell="A1" sqref="A1"/>
    </sheetView>
  </sheetViews>
  <sheetFormatPr baseColWidth="8" defaultRowHeight="15"/>
  <cols>
    <col width="15" customWidth="1" style="91" min="1" max="1"/>
    <col width="34" customWidth="1" style="91" min="2" max="2"/>
    <col width="32" customWidth="1" style="91" min="3" max="3"/>
    <col width="24" customWidth="1" style="91" min="4" max="4"/>
    <col width="42" customWidth="1" style="91" min="5" max="5"/>
    <col width="20" customWidth="1" style="91" min="6" max="6"/>
    <col width="24" customWidth="1" style="91" min="8" max="8"/>
    <col width="24" customWidth="1" style="91" min="17" max="17"/>
    <col width="24" customWidth="1" style="91" min="18" max="18"/>
  </cols>
  <sheetData>
    <row r="1" ht="30" customHeight="1" s="91">
      <c r="A1" s="63" t="inlineStr">
        <is>
          <t>AlternativeID</t>
        </is>
      </c>
      <c r="B1" s="63" t="inlineStr">
        <is>
          <t>DefaultExercise</t>
        </is>
      </c>
      <c r="C1" s="63" t="inlineStr">
        <is>
          <t>Alternative</t>
        </is>
      </c>
      <c r="D1" s="63" t="inlineStr">
        <is>
          <t>Reason</t>
        </is>
      </c>
      <c r="E1" s="63" t="inlineStr">
        <is>
          <t>Notes</t>
        </is>
      </c>
      <c r="F1" s="63" t="inlineStr">
        <is>
          <t>UpdatedAt</t>
        </is>
      </c>
    </row>
    <row r="2">
      <c r="A2" s="64" t="inlineStr">
        <is>
          <t>ALT001</t>
        </is>
      </c>
      <c r="B2" s="80" t="inlineStr">
        <is>
          <t>High-bar back squat</t>
        </is>
      </c>
      <c r="C2" s="80" t="inlineStr">
        <is>
          <t>Front squat</t>
        </is>
      </c>
      <c r="D2" s="80" t="inlineStr">
        <is>
          <t>Back feels taxed</t>
        </is>
      </c>
      <c r="E2" s="80" t="inlineStr">
        <is>
          <t>More upright torso.</t>
        </is>
      </c>
      <c r="F2" s="167" t="n">
        <v>46222.41666666666</v>
      </c>
    </row>
    <row r="3">
      <c r="A3" s="67" t="inlineStr">
        <is>
          <t>ALT002</t>
        </is>
      </c>
      <c r="B3" s="70" t="inlineStr">
        <is>
          <t>High-bar back squat</t>
        </is>
      </c>
      <c r="C3" s="70" t="inlineStr">
        <is>
          <t>Heels-elevated squat</t>
        </is>
      </c>
      <c r="D3" s="70" t="inlineStr">
        <is>
          <t>Need more quad bias</t>
        </is>
      </c>
      <c r="E3" s="70" t="inlineStr">
        <is>
          <t>Can use dumbbells or barbell.</t>
        </is>
      </c>
      <c r="F3" s="168" t="n">
        <v>46222.41666666666</v>
      </c>
    </row>
    <row r="4">
      <c r="A4" s="67" t="inlineStr">
        <is>
          <t>ALT003</t>
        </is>
      </c>
      <c r="B4" s="70" t="inlineStr">
        <is>
          <t>High-bar back squat</t>
        </is>
      </c>
      <c r="C4" s="70" t="inlineStr">
        <is>
          <t>Box squat</t>
        </is>
      </c>
      <c r="D4" s="70" t="inlineStr">
        <is>
          <t>Need controlled depth</t>
        </is>
      </c>
      <c r="E4" s="70" t="inlineStr">
        <is>
          <t>Use safety pins and a stable box.</t>
        </is>
      </c>
      <c r="F4" s="168" t="n">
        <v>46222.41666666666</v>
      </c>
    </row>
    <row r="5">
      <c r="A5" s="67" t="inlineStr">
        <is>
          <t>ALT004</t>
        </is>
      </c>
      <c r="B5" s="70" t="inlineStr">
        <is>
          <t>High-bar back squat</t>
        </is>
      </c>
      <c r="C5" s="70" t="inlineStr">
        <is>
          <t>Goblet squat</t>
        </is>
      </c>
      <c r="D5" s="70" t="inlineStr">
        <is>
          <t>Deload or warm-up</t>
        </is>
      </c>
      <c r="E5" s="70" t="inlineStr">
        <is>
          <t>Lower loading.</t>
        </is>
      </c>
      <c r="F5" s="168" t="n">
        <v>46222.41666666666</v>
      </c>
    </row>
    <row r="6">
      <c r="A6" s="67" t="inlineStr">
        <is>
          <t>ALT005</t>
        </is>
      </c>
      <c r="B6" s="70" t="inlineStr">
        <is>
          <t>Front squat or heels-elevated squat</t>
        </is>
      </c>
      <c r="C6" s="70" t="inlineStr">
        <is>
          <t>High-bar back squat</t>
        </is>
      </c>
      <c r="D6" s="70" t="inlineStr">
        <is>
          <t>Front rack uncomfortable</t>
        </is>
      </c>
      <c r="E6" s="70" t="inlineStr">
        <is>
          <t>Return to standard squat if back tolerates it.</t>
        </is>
      </c>
      <c r="F6" s="168" t="n">
        <v>46222.41666666666</v>
      </c>
    </row>
    <row r="7">
      <c r="A7" s="67" t="inlineStr">
        <is>
          <t>ALT006</t>
        </is>
      </c>
      <c r="B7" s="70" t="inlineStr">
        <is>
          <t>Front squat or heels-elevated squat</t>
        </is>
      </c>
      <c r="C7" s="70" t="inlineStr">
        <is>
          <t>Bulgarian split squat</t>
        </is>
      </c>
      <c r="D7" s="70" t="inlineStr">
        <is>
          <t>Back-sensitive day</t>
        </is>
      </c>
      <c r="E7" s="70" t="inlineStr">
        <is>
          <t>Hard leg stimulus with less spinal loading.</t>
        </is>
      </c>
      <c r="F7" s="168" t="n">
        <v>46222.41666666666</v>
      </c>
    </row>
    <row r="8">
      <c r="A8" s="67" t="inlineStr">
        <is>
          <t>ALT007</t>
        </is>
      </c>
      <c r="B8" s="70" t="inlineStr">
        <is>
          <t>Romanian deadlift</t>
        </is>
      </c>
      <c r="C8" s="70" t="inlineStr">
        <is>
          <t>Barbell hip thrust</t>
        </is>
      </c>
      <c r="D8" s="70" t="inlineStr">
        <is>
          <t>Lower back discomfort</t>
        </is>
      </c>
      <c r="E8" s="70" t="inlineStr">
        <is>
          <t>Default replacement.</t>
        </is>
      </c>
      <c r="F8" s="168" t="n">
        <v>46222.41666666666</v>
      </c>
    </row>
    <row r="9">
      <c r="A9" s="67" t="inlineStr">
        <is>
          <t>ALT008</t>
        </is>
      </c>
      <c r="B9" s="70" t="inlineStr">
        <is>
          <t>Romanian deadlift</t>
        </is>
      </c>
      <c r="C9" s="70" t="inlineStr">
        <is>
          <t>Cable pull-through</t>
        </is>
      </c>
      <c r="D9" s="70" t="inlineStr">
        <is>
          <t>Lower back discomfort</t>
        </is>
      </c>
      <c r="E9" s="70" t="inlineStr">
        <is>
          <t>Cable hinge pattern.</t>
        </is>
      </c>
      <c r="F9" s="168" t="n">
        <v>46222.41666666666</v>
      </c>
    </row>
    <row r="10">
      <c r="A10" s="67" t="inlineStr">
        <is>
          <t>ALT009</t>
        </is>
      </c>
      <c r="B10" s="70" t="inlineStr">
        <is>
          <t>Romanian deadlift</t>
        </is>
      </c>
      <c r="C10" s="70" t="inlineStr">
        <is>
          <t>Dumbbell Romanian deadlift</t>
        </is>
      </c>
      <c r="D10" s="70" t="inlineStr">
        <is>
          <t>Technique practice</t>
        </is>
      </c>
      <c r="E10" s="70" t="inlineStr">
        <is>
          <t>Smaller load increments.</t>
        </is>
      </c>
      <c r="F10" s="168" t="n">
        <v>46222.41666666666</v>
      </c>
    </row>
    <row r="11">
      <c r="A11" s="67" t="inlineStr">
        <is>
          <t>ALT010</t>
        </is>
      </c>
      <c r="B11" s="70" t="inlineStr">
        <is>
          <t>Romanian deadlift or hip thrust</t>
        </is>
      </c>
      <c r="C11" s="70" t="inlineStr">
        <is>
          <t>Barbell hip thrust</t>
        </is>
      </c>
      <c r="D11" s="70" t="inlineStr">
        <is>
          <t>RFL fatigue</t>
        </is>
      </c>
      <c r="E11" s="70" t="inlineStr">
        <is>
          <t>Back-friendly option.</t>
        </is>
      </c>
      <c r="F11" s="168" t="n">
        <v>46222.41666666666</v>
      </c>
    </row>
    <row r="12">
      <c r="A12" s="67" t="inlineStr">
        <is>
          <t>ALT011</t>
        </is>
      </c>
      <c r="B12" s="70" t="inlineStr">
        <is>
          <t>Romanian deadlift or hip thrust</t>
        </is>
      </c>
      <c r="C12" s="70" t="inlineStr">
        <is>
          <t>Cable pull-through</t>
        </is>
      </c>
      <c r="D12" s="70" t="inlineStr">
        <is>
          <t>Back-sensitive day</t>
        </is>
      </c>
      <c r="E12" s="70" t="inlineStr">
        <is>
          <t>Keep RIR 2-3.</t>
        </is>
      </c>
      <c r="F12" s="168" t="n">
        <v>46222.41666666666</v>
      </c>
    </row>
    <row r="13">
      <c r="A13" s="67" t="inlineStr">
        <is>
          <t>ALT012</t>
        </is>
      </c>
      <c r="B13" s="70" t="inlineStr">
        <is>
          <t>Barbell hip thrust</t>
        </is>
      </c>
      <c r="C13" s="70" t="inlineStr">
        <is>
          <t>Cable pull-through</t>
        </is>
      </c>
      <c r="D13" s="70" t="inlineStr">
        <is>
          <t>Bench setup unavailable</t>
        </is>
      </c>
      <c r="E13" s="70" t="inlineStr">
        <is>
          <t>Good cable substitute.</t>
        </is>
      </c>
      <c r="F13" s="168" t="n">
        <v>46222.41666666666</v>
      </c>
    </row>
    <row r="14">
      <c r="A14" s="67" t="inlineStr">
        <is>
          <t>ALT013</t>
        </is>
      </c>
      <c r="B14" s="70" t="inlineStr">
        <is>
          <t>Barbell bench press</t>
        </is>
      </c>
      <c r="C14" s="70" t="inlineStr">
        <is>
          <t>Dumbbell bench press</t>
        </is>
      </c>
      <c r="D14" s="70" t="inlineStr">
        <is>
          <t>Shoulder comfort</t>
        </is>
      </c>
      <c r="E14" s="70" t="inlineStr">
        <is>
          <t>Greater freedom of movement.</t>
        </is>
      </c>
      <c r="F14" s="168" t="n">
        <v>46222.41666666666</v>
      </c>
    </row>
    <row r="15">
      <c r="A15" s="67" t="inlineStr">
        <is>
          <t>ALT014</t>
        </is>
      </c>
      <c r="B15" s="70" t="inlineStr">
        <is>
          <t>Barbell bench press</t>
        </is>
      </c>
      <c r="C15" s="70" t="inlineStr">
        <is>
          <t>Floor press</t>
        </is>
      </c>
      <c r="D15" s="70" t="inlineStr">
        <is>
          <t>Shoulder range limitation</t>
        </is>
      </c>
      <c r="E15" s="70" t="inlineStr">
        <is>
          <t>Reduced bottom range.</t>
        </is>
      </c>
      <c r="F15" s="168" t="n">
        <v>46222.41666666666</v>
      </c>
    </row>
    <row r="16">
      <c r="A16" s="67" t="inlineStr">
        <is>
          <t>ALT015</t>
        </is>
      </c>
      <c r="B16" s="70" t="inlineStr">
        <is>
          <t>Barbell bench press</t>
        </is>
      </c>
      <c r="C16" s="70" t="inlineStr">
        <is>
          <t>Weighted ring push-up</t>
        </is>
      </c>
      <c r="D16" s="70" t="inlineStr">
        <is>
          <t>Want shoulder-friendly press</t>
        </is>
      </c>
      <c r="E16" s="70" t="inlineStr">
        <is>
          <t>Progress with load/body angle.</t>
        </is>
      </c>
      <c r="F16" s="168" t="n">
        <v>46222.41666666666</v>
      </c>
    </row>
    <row r="17">
      <c r="A17" s="67" t="inlineStr">
        <is>
          <t>ALT016</t>
        </is>
      </c>
      <c r="B17" s="70" t="inlineStr">
        <is>
          <t>Incline dumbbell press</t>
        </is>
      </c>
      <c r="C17" s="70" t="inlineStr">
        <is>
          <t>Dumbbell bench press</t>
        </is>
      </c>
      <c r="D17" s="70" t="inlineStr">
        <is>
          <t>Incline setup unavailable</t>
        </is>
      </c>
      <c r="E17" s="70" t="inlineStr">
        <is>
          <t>Flat press substitute.</t>
        </is>
      </c>
      <c r="F17" s="168" t="n">
        <v>46222.41666666666</v>
      </c>
    </row>
    <row r="18">
      <c r="A18" s="67" t="inlineStr">
        <is>
          <t>ALT017</t>
        </is>
      </c>
      <c r="B18" s="70" t="inlineStr">
        <is>
          <t>Incline dumbbell or seated dumbbell press</t>
        </is>
      </c>
      <c r="C18" s="70" t="inlineStr">
        <is>
          <t>Seated dumbbell overhead press</t>
        </is>
      </c>
      <c r="D18" s="70" t="inlineStr">
        <is>
          <t>Prefer vertical press</t>
        </is>
      </c>
      <c r="E18" s="70" t="inlineStr">
        <is>
          <t>RFL press slot.</t>
        </is>
      </c>
      <c r="F18" s="168" t="n">
        <v>46222.41666666666</v>
      </c>
    </row>
    <row r="19">
      <c r="A19" s="67" t="inlineStr">
        <is>
          <t>ALT018</t>
        </is>
      </c>
      <c r="B19" s="70" t="inlineStr">
        <is>
          <t>Incline dumbbell or seated dumbbell press</t>
        </is>
      </c>
      <c r="C19" s="70" t="inlineStr">
        <is>
          <t>Incline dumbbell press</t>
        </is>
      </c>
      <c r="D19" s="70" t="inlineStr">
        <is>
          <t>Prefer chest emphasis</t>
        </is>
      </c>
      <c r="E19" s="70" t="inlineStr">
        <is>
          <t>RFL press slot.</t>
        </is>
      </c>
      <c r="F19" s="168" t="n">
        <v>46222.41666666666</v>
      </c>
    </row>
    <row r="20">
      <c r="A20" s="67" t="inlineStr">
        <is>
          <t>ALT019</t>
        </is>
      </c>
      <c r="B20" s="70" t="inlineStr">
        <is>
          <t>Chest-supported dumbbell row</t>
        </is>
      </c>
      <c r="C20" s="70" t="inlineStr">
        <is>
          <t>Seated cable row</t>
        </is>
      </c>
      <c r="D20" s="70" t="inlineStr">
        <is>
          <t>Bench unavailable</t>
        </is>
      </c>
      <c r="E20" s="70" t="inlineStr">
        <is>
          <t>Stable cable row.</t>
        </is>
      </c>
      <c r="F20" s="168" t="n">
        <v>46222.41666666666</v>
      </c>
    </row>
    <row r="21">
      <c r="A21" s="67" t="inlineStr">
        <is>
          <t>ALT020</t>
        </is>
      </c>
      <c r="B21" s="70" t="inlineStr">
        <is>
          <t>Chest-supported dumbbell row</t>
        </is>
      </c>
      <c r="C21" s="70" t="inlineStr">
        <is>
          <t>One-arm cable row</t>
        </is>
      </c>
      <c r="D21" s="70" t="inlineStr">
        <is>
          <t>Need unilateral work</t>
        </is>
      </c>
      <c r="E21" s="70" t="inlineStr">
        <is>
          <t>Control torso.</t>
        </is>
      </c>
      <c r="F21" s="168" t="n">
        <v>46222.41666666666</v>
      </c>
    </row>
    <row r="22">
      <c r="A22" s="67" t="inlineStr">
        <is>
          <t>ALT021</t>
        </is>
      </c>
      <c r="B22" s="70" t="inlineStr">
        <is>
          <t>Chest-supported dumbbell row</t>
        </is>
      </c>
      <c r="C22" s="70" t="inlineStr">
        <is>
          <t>Inverted row</t>
        </is>
      </c>
      <c r="D22" s="70" t="inlineStr">
        <is>
          <t>No dumbbell setup</t>
        </is>
      </c>
      <c r="E22" s="70" t="inlineStr">
        <is>
          <t>Bodyweight row.</t>
        </is>
      </c>
      <c r="F22" s="168" t="n">
        <v>46222.41666666666</v>
      </c>
    </row>
    <row r="23">
      <c r="A23" s="67" t="inlineStr">
        <is>
          <t>ALT022</t>
        </is>
      </c>
      <c r="B23" s="70" t="inlineStr">
        <is>
          <t>One-arm cable row</t>
        </is>
      </c>
      <c r="C23" s="70" t="inlineStr">
        <is>
          <t>Seated cable row</t>
        </is>
      </c>
      <c r="D23" s="70" t="inlineStr">
        <is>
          <t>Want bilateral row</t>
        </is>
      </c>
      <c r="E23" s="70" t="inlineStr">
        <is>
          <t>Use cable station.</t>
        </is>
      </c>
      <c r="F23" s="168" t="n">
        <v>46222.41666666666</v>
      </c>
    </row>
    <row r="24">
      <c r="A24" s="67" t="inlineStr">
        <is>
          <t>ALT023</t>
        </is>
      </c>
      <c r="B24" s="70" t="inlineStr">
        <is>
          <t>Weighted chin-up or heavy pulldown</t>
        </is>
      </c>
      <c r="C24" s="70" t="inlineStr">
        <is>
          <t>Cable lat pulldown</t>
        </is>
      </c>
      <c r="D24" s="70" t="inlineStr">
        <is>
          <t>Chin-ups not ready</t>
        </is>
      </c>
      <c r="E24" s="70" t="inlineStr">
        <is>
          <t>Progress load on cable.</t>
        </is>
      </c>
      <c r="F24" s="168" t="n">
        <v>46222.41666666666</v>
      </c>
    </row>
    <row r="25">
      <c r="A25" s="67" t="inlineStr">
        <is>
          <t>ALT024</t>
        </is>
      </c>
      <c r="B25" s="70" t="inlineStr">
        <is>
          <t>Weighted chin-up or heavy pulldown</t>
        </is>
      </c>
      <c r="C25" s="70" t="inlineStr">
        <is>
          <t>Weighted chin-up</t>
        </is>
      </c>
      <c r="D25" s="70" t="inlineStr">
        <is>
          <t>Strong chin-ups</t>
        </is>
      </c>
      <c r="E25" s="70" t="inlineStr">
        <is>
          <t>Use clean reps only.</t>
        </is>
      </c>
      <c r="F25" s="168" t="n">
        <v>46222.41666666666</v>
      </c>
    </row>
    <row r="26">
      <c r="A26" s="67" t="inlineStr">
        <is>
          <t>ALT025</t>
        </is>
      </c>
      <c r="B26" s="70" t="inlineStr">
        <is>
          <t>Cable lat pulldown or ring chin-up</t>
        </is>
      </c>
      <c r="C26" s="70" t="inlineStr">
        <is>
          <t>Cable lat pulldown</t>
        </is>
      </c>
      <c r="D26" s="70" t="inlineStr">
        <is>
          <t>Need stable load</t>
        </is>
      </c>
      <c r="E26" s="70" t="inlineStr">
        <is>
          <t>Good progression.</t>
        </is>
      </c>
      <c r="F26" s="168" t="n">
        <v>46222.41666666666</v>
      </c>
    </row>
    <row r="27">
      <c r="A27" s="67" t="inlineStr">
        <is>
          <t>ALT026</t>
        </is>
      </c>
      <c r="B27" s="70" t="inlineStr">
        <is>
          <t>Cable lat pulldown or ring chin-up</t>
        </is>
      </c>
      <c r="C27" s="70" t="inlineStr">
        <is>
          <t>Ring chin-up</t>
        </is>
      </c>
      <c r="D27" s="70" t="inlineStr">
        <is>
          <t>Want bodyweight progression</t>
        </is>
      </c>
      <c r="E27" s="70" t="inlineStr">
        <is>
          <t>Use assistance as required.</t>
        </is>
      </c>
      <c r="F27" s="168" t="n">
        <v>46222.41666666666</v>
      </c>
    </row>
    <row r="28">
      <c r="A28" s="67" t="inlineStr">
        <is>
          <t>ALT027</t>
        </is>
      </c>
      <c r="B28" s="70" t="inlineStr">
        <is>
          <t>Pulldown or chin-up</t>
        </is>
      </c>
      <c r="C28" s="70" t="inlineStr">
        <is>
          <t>Cable lat pulldown</t>
        </is>
      </c>
      <c r="D28" s="70" t="inlineStr">
        <is>
          <t>RFL fatigue</t>
        </is>
      </c>
      <c r="E28" s="70" t="inlineStr">
        <is>
          <t>Easy load control.</t>
        </is>
      </c>
      <c r="F28" s="168" t="n">
        <v>46222.41666666666</v>
      </c>
    </row>
    <row r="29">
      <c r="A29" s="67" t="inlineStr">
        <is>
          <t>ALT028</t>
        </is>
      </c>
      <c r="B29" s="70" t="inlineStr">
        <is>
          <t>Pulldown or chin-up</t>
        </is>
      </c>
      <c r="C29" s="70" t="inlineStr">
        <is>
          <t>Ring chin-up</t>
        </is>
      </c>
      <c r="D29" s="70" t="inlineStr">
        <is>
          <t>Bodyweight option</t>
        </is>
      </c>
      <c r="E29" s="70" t="inlineStr">
        <is>
          <t>Keep 2-3 RIR in RFL.</t>
        </is>
      </c>
      <c r="F29" s="168" t="n">
        <v>46222.41666666666</v>
      </c>
    </row>
    <row r="30">
      <c r="A30" s="67" t="inlineStr">
        <is>
          <t>ALT029</t>
        </is>
      </c>
      <c r="B30" s="70" t="inlineStr">
        <is>
          <t>Seated dumbbell overhead press</t>
        </is>
      </c>
      <c r="C30" s="70" t="inlineStr">
        <is>
          <t>Incline dumbbell press</t>
        </is>
      </c>
      <c r="D30" s="70" t="inlineStr">
        <is>
          <t>Shoulder irritation</t>
        </is>
      </c>
      <c r="E30" s="70" t="inlineStr">
        <is>
          <t>Use pain-free angle.</t>
        </is>
      </c>
      <c r="F30" s="168" t="n">
        <v>46222.41666666666</v>
      </c>
    </row>
    <row r="31">
      <c r="A31" s="67" t="inlineStr">
        <is>
          <t>ALT030</t>
        </is>
      </c>
      <c r="B31" s="70" t="inlineStr">
        <is>
          <t>Seated dumbbell overhead press</t>
        </is>
      </c>
      <c r="C31" s="70" t="inlineStr">
        <is>
          <t>Standing overhead press</t>
        </is>
      </c>
      <c r="D31" s="70" t="inlineStr">
        <is>
          <t>Want barbell progression</t>
        </is>
      </c>
      <c r="E31" s="70" t="inlineStr">
        <is>
          <t>Only if lower back feels stable.</t>
        </is>
      </c>
      <c r="F31" s="168" t="n">
        <v>46222.41666666666</v>
      </c>
    </row>
    <row r="32">
      <c r="A32" s="67" t="inlineStr">
        <is>
          <t>ALT031</t>
        </is>
      </c>
      <c r="B32" s="70" t="inlineStr">
        <is>
          <t>Cable lateral raise</t>
        </is>
      </c>
      <c r="C32" s="70" t="inlineStr">
        <is>
          <t>Dumbbell lateral raise</t>
        </is>
      </c>
      <c r="D32" s="70" t="inlineStr">
        <is>
          <t>Cable unavailable</t>
        </is>
      </c>
      <c r="E32" s="70" t="inlineStr">
        <is>
          <t>Keep strict and controlled.</t>
        </is>
      </c>
      <c r="F32" s="168" t="n">
        <v>46222.41666666666</v>
      </c>
    </row>
    <row r="33">
      <c r="A33" s="67" t="inlineStr">
        <is>
          <t>ALT032</t>
        </is>
      </c>
      <c r="B33" s="70" t="inlineStr">
        <is>
          <t>Cable lateral raise</t>
        </is>
      </c>
      <c r="C33" s="70" t="inlineStr">
        <is>
          <t>Lean-away cable lateral raise</t>
        </is>
      </c>
      <c r="D33" s="70" t="inlineStr">
        <is>
          <t>Need different line of pull</t>
        </is>
      </c>
      <c r="E33" s="70" t="inlineStr">
        <is>
          <t>Stay light.</t>
        </is>
      </c>
      <c r="F33" s="168" t="n">
        <v>46222.41666666666</v>
      </c>
    </row>
    <row r="34">
      <c r="A34" s="67" t="inlineStr">
        <is>
          <t>ALT033</t>
        </is>
      </c>
      <c r="B34" s="70" t="inlineStr">
        <is>
          <t>Cable rear-delt fly or face pull</t>
        </is>
      </c>
      <c r="C34" s="70" t="inlineStr">
        <is>
          <t>Cable rear-delt fly</t>
        </is>
      </c>
      <c r="D34" s="70" t="inlineStr">
        <is>
          <t>Rear delt emphasis</t>
        </is>
      </c>
      <c r="E34" s="70" t="inlineStr">
        <is>
          <t>Strict reps.</t>
        </is>
      </c>
      <c r="F34" s="168" t="n">
        <v>46222.41666666666</v>
      </c>
    </row>
    <row r="35">
      <c r="A35" s="67" t="inlineStr">
        <is>
          <t>ALT034</t>
        </is>
      </c>
      <c r="B35" s="70" t="inlineStr">
        <is>
          <t>Cable rear-delt fly or face pull</t>
        </is>
      </c>
      <c r="C35" s="70" t="inlineStr">
        <is>
          <t>Face pull</t>
        </is>
      </c>
      <c r="D35" s="70" t="inlineStr">
        <is>
          <t>Shoulder-health emphasis</t>
        </is>
      </c>
      <c r="E35" s="70" t="inlineStr">
        <is>
          <t>Use rope attachment.</t>
        </is>
      </c>
      <c r="F35" s="168" t="n">
        <v>46222.41666666666</v>
      </c>
    </row>
    <row r="36">
      <c r="A36" s="67" t="inlineStr">
        <is>
          <t>ALT035</t>
        </is>
      </c>
      <c r="B36" s="70" t="inlineStr">
        <is>
          <t>Rear-delt cable fly</t>
        </is>
      </c>
      <c r="C36" s="70" t="inlineStr">
        <is>
          <t>Face pull</t>
        </is>
      </c>
      <c r="D36" s="70" t="inlineStr">
        <is>
          <t>Shoulder-friendly substitute</t>
        </is>
      </c>
      <c r="E36" s="70" t="inlineStr">
        <is>
          <t>Keep elbows high.</t>
        </is>
      </c>
      <c r="F36" s="168" t="n">
        <v>46222.41666666666</v>
      </c>
    </row>
    <row r="37">
      <c r="A37" s="67" t="inlineStr">
        <is>
          <t>ALT036</t>
        </is>
      </c>
      <c r="B37" s="70" t="inlineStr">
        <is>
          <t>Cable triceps pushdown</t>
        </is>
      </c>
      <c r="C37" s="70" t="inlineStr">
        <is>
          <t>Overhead cable triceps extension</t>
        </is>
      </c>
      <c r="D37" s="70" t="inlineStr">
        <is>
          <t>Need long-head work</t>
        </is>
      </c>
      <c r="E37" s="70" t="inlineStr">
        <is>
          <t>Use pain-free elbow path.</t>
        </is>
      </c>
      <c r="F37" s="168" t="n">
        <v>46222.41666666666</v>
      </c>
    </row>
    <row r="38">
      <c r="A38" s="67" t="inlineStr">
        <is>
          <t>ALT037</t>
        </is>
      </c>
      <c r="B38" s="70" t="inlineStr">
        <is>
          <t>Overhead cable triceps extension</t>
        </is>
      </c>
      <c r="C38" s="70" t="inlineStr">
        <is>
          <t>Cable triceps pushdown</t>
        </is>
      </c>
      <c r="D38" s="70" t="inlineStr">
        <is>
          <t>Elbow discomfort</t>
        </is>
      </c>
      <c r="E38" s="70" t="inlineStr">
        <is>
          <t>Often more comfortable.</t>
        </is>
      </c>
      <c r="F38" s="168" t="n">
        <v>46222.41666666666</v>
      </c>
    </row>
    <row r="39">
      <c r="A39" s="67" t="inlineStr">
        <is>
          <t>ALT038</t>
        </is>
      </c>
      <c r="B39" s="70" t="inlineStr">
        <is>
          <t>Incline dumbbell or cable curl</t>
        </is>
      </c>
      <c r="C39" s="70" t="inlineStr">
        <is>
          <t>Cable curl</t>
        </is>
      </c>
      <c r="D39" s="70" t="inlineStr">
        <is>
          <t>Elbow-friendly tension</t>
        </is>
      </c>
      <c r="E39" s="70" t="inlineStr">
        <is>
          <t>Good default.</t>
        </is>
      </c>
      <c r="F39" s="168" t="n">
        <v>46222.41666666666</v>
      </c>
    </row>
    <row r="40">
      <c r="A40" s="67" t="inlineStr">
        <is>
          <t>ALT039</t>
        </is>
      </c>
      <c r="B40" s="70" t="inlineStr">
        <is>
          <t>Incline dumbbell or cable curl</t>
        </is>
      </c>
      <c r="C40" s="70" t="inlineStr">
        <is>
          <t>Incline dumbbell curl</t>
        </is>
      </c>
      <c r="D40" s="70" t="inlineStr">
        <is>
          <t>Stretch emphasis</t>
        </is>
      </c>
      <c r="E40" s="70" t="inlineStr">
        <is>
          <t>Use controlled range.</t>
        </is>
      </c>
      <c r="F40" s="168" t="n">
        <v>46222.41666666666</v>
      </c>
    </row>
    <row r="41">
      <c r="A41" s="67" t="inlineStr">
        <is>
          <t>ALT040</t>
        </is>
      </c>
      <c r="B41" s="70" t="inlineStr">
        <is>
          <t>Dumbbell hammer curl</t>
        </is>
      </c>
      <c r="C41" s="70" t="inlineStr">
        <is>
          <t>Cable curl</t>
        </is>
      </c>
      <c r="D41" s="70" t="inlineStr">
        <is>
          <t>Elbow discomfort</t>
        </is>
      </c>
      <c r="E41" s="70" t="inlineStr">
        <is>
          <t>Cable may feel smoother.</t>
        </is>
      </c>
      <c r="F41" s="168" t="n">
        <v>46222.41666666666</v>
      </c>
    </row>
    <row r="42">
      <c r="A42" s="67" t="inlineStr">
        <is>
          <t>ALT041</t>
        </is>
      </c>
      <c r="B42" s="70" t="inlineStr">
        <is>
          <t>Dead bug or Pallof press</t>
        </is>
      </c>
      <c r="C42" s="70" t="inlineStr">
        <is>
          <t>Dead bug</t>
        </is>
      </c>
      <c r="D42" s="70" t="inlineStr">
        <is>
          <t>No cable needed</t>
        </is>
      </c>
      <c r="E42" s="70" t="inlineStr">
        <is>
          <t>Low fatigue core.</t>
        </is>
      </c>
      <c r="F42" s="168" t="n">
        <v>46222.41666666666</v>
      </c>
    </row>
    <row r="43">
      <c r="A43" s="67" t="inlineStr">
        <is>
          <t>ALT042</t>
        </is>
      </c>
      <c r="B43" s="70" t="inlineStr">
        <is>
          <t>Dead bug or Pallof press</t>
        </is>
      </c>
      <c r="C43" s="70" t="inlineStr">
        <is>
          <t>Pallof press</t>
        </is>
      </c>
      <c r="D43" s="70" t="inlineStr">
        <is>
          <t>Anti-rotation focus</t>
        </is>
      </c>
      <c r="E43" s="70" t="inlineStr">
        <is>
          <t>Cable setup.</t>
        </is>
      </c>
      <c r="F43" s="168" t="n">
        <v>46222.41666666666</v>
      </c>
    </row>
    <row r="44">
      <c r="A44" s="67" t="inlineStr">
        <is>
          <t>ALT043</t>
        </is>
      </c>
      <c r="B44" s="70" t="inlineStr">
        <is>
          <t>Ab wheel or cable crunch</t>
        </is>
      </c>
      <c r="C44" s="70" t="inlineStr">
        <is>
          <t>Cable crunch</t>
        </is>
      </c>
      <c r="D44" s="70" t="inlineStr">
        <is>
          <t>Lower back sensitivity</t>
        </is>
      </c>
      <c r="E44" s="70" t="inlineStr">
        <is>
          <t>Easier to control.</t>
        </is>
      </c>
      <c r="F44" s="168" t="n">
        <v>46222.41666666666</v>
      </c>
    </row>
    <row r="45">
      <c r="A45" s="67" t="inlineStr">
        <is>
          <t>ALT044</t>
        </is>
      </c>
      <c r="B45" s="70" t="inlineStr">
        <is>
          <t>Ab wheel or cable crunch</t>
        </is>
      </c>
      <c r="C45" s="70" t="inlineStr">
        <is>
          <t>Dead bug</t>
        </is>
      </c>
      <c r="D45" s="70" t="inlineStr">
        <is>
          <t>Fatigued RFL day</t>
        </is>
      </c>
      <c r="E45" s="70" t="inlineStr">
        <is>
          <t>Lowest-risk option.</t>
        </is>
      </c>
      <c r="F45" s="168" t="n">
        <v>46222.41666666666</v>
      </c>
    </row>
    <row r="46">
      <c r="A46" s="67" t="inlineStr">
        <is>
          <t>ALT045</t>
        </is>
      </c>
      <c r="B46" s="70" t="inlineStr">
        <is>
          <t>High-bar back squat</t>
        </is>
      </c>
      <c r="C46" s="70" t="inlineStr">
        <is>
          <t>Safety-bar squat</t>
        </is>
      </c>
      <c r="D46" s="70" t="inlineStr">
        <is>
          <t>Equipment match</t>
        </is>
      </c>
      <c r="E46" s="70" t="inlineStr">
        <is>
          <t>Equipment-compatible option.</t>
        </is>
      </c>
      <c r="F46" s="168" t="n">
        <v>46222.65625</v>
      </c>
    </row>
    <row r="47">
      <c r="A47" s="67" t="inlineStr">
        <is>
          <t>ALT046</t>
        </is>
      </c>
      <c r="B47" s="70" t="inlineStr">
        <is>
          <t>High-bar back squat</t>
        </is>
      </c>
      <c r="C47" s="70" t="inlineStr">
        <is>
          <t>Smith-machine squat</t>
        </is>
      </c>
      <c r="D47" s="70" t="inlineStr">
        <is>
          <t>Equipment match</t>
        </is>
      </c>
      <c r="E47" s="70" t="inlineStr">
        <is>
          <t>Equipment-compatible option.</t>
        </is>
      </c>
      <c r="F47" s="168" t="n">
        <v>46222.65625</v>
      </c>
    </row>
    <row r="48">
      <c r="A48" s="67" t="inlineStr">
        <is>
          <t>ALT047</t>
        </is>
      </c>
      <c r="B48" s="70" t="inlineStr">
        <is>
          <t>High-bar back squat</t>
        </is>
      </c>
      <c r="C48" s="70" t="inlineStr">
        <is>
          <t>Landmine squat</t>
        </is>
      </c>
      <c r="D48" s="70" t="inlineStr">
        <is>
          <t>Equipment match</t>
        </is>
      </c>
      <c r="E48" s="70" t="inlineStr">
        <is>
          <t>Equipment-compatible option.</t>
        </is>
      </c>
      <c r="F48" s="168" t="n">
        <v>46222.65625</v>
      </c>
    </row>
    <row r="49">
      <c r="A49" s="67" t="inlineStr">
        <is>
          <t>ALT048</t>
        </is>
      </c>
      <c r="B49" s="70" t="inlineStr">
        <is>
          <t>High-bar back squat</t>
        </is>
      </c>
      <c r="C49" s="70" t="inlineStr">
        <is>
          <t>Leg press</t>
        </is>
      </c>
      <c r="D49" s="70" t="inlineStr">
        <is>
          <t>Equipment match</t>
        </is>
      </c>
      <c r="E49" s="70" t="inlineStr">
        <is>
          <t>Equipment-compatible option.</t>
        </is>
      </c>
      <c r="F49" s="168" t="n">
        <v>46222.65625</v>
      </c>
    </row>
    <row r="50">
      <c r="A50" s="67" t="inlineStr">
        <is>
          <t>ALT049</t>
        </is>
      </c>
      <c r="B50" s="70" t="inlineStr">
        <is>
          <t>High-bar back squat</t>
        </is>
      </c>
      <c r="C50" s="70" t="inlineStr">
        <is>
          <t>Hack squat</t>
        </is>
      </c>
      <c r="D50" s="70" t="inlineStr">
        <is>
          <t>Equipment match</t>
        </is>
      </c>
      <c r="E50" s="70" t="inlineStr">
        <is>
          <t>Equipment-compatible option.</t>
        </is>
      </c>
      <c r="F50" s="168" t="n">
        <v>46222.65625</v>
      </c>
    </row>
    <row r="51">
      <c r="A51" s="67" t="inlineStr">
        <is>
          <t>ALT050</t>
        </is>
      </c>
      <c r="B51" s="70" t="inlineStr">
        <is>
          <t>High-bar back squat</t>
        </is>
      </c>
      <c r="C51" s="70" t="inlineStr">
        <is>
          <t>Kettlebell goblet squat</t>
        </is>
      </c>
      <c r="D51" s="70" t="inlineStr">
        <is>
          <t>Equipment match</t>
        </is>
      </c>
      <c r="E51" s="70" t="inlineStr">
        <is>
          <t>Equipment-compatible option.</t>
        </is>
      </c>
      <c r="F51" s="168" t="n">
        <v>46222.65625</v>
      </c>
    </row>
    <row r="52">
      <c r="A52" s="67" t="inlineStr">
        <is>
          <t>ALT051</t>
        </is>
      </c>
      <c r="B52" s="70" t="inlineStr">
        <is>
          <t>High-bar back squat</t>
        </is>
      </c>
      <c r="C52" s="70" t="inlineStr">
        <is>
          <t>Bodyweight split squat</t>
        </is>
      </c>
      <c r="D52" s="70" t="inlineStr">
        <is>
          <t>Equipment match</t>
        </is>
      </c>
      <c r="E52" s="70" t="inlineStr">
        <is>
          <t>Equipment-compatible option.</t>
        </is>
      </c>
      <c r="F52" s="168" t="n">
        <v>46222.65625</v>
      </c>
    </row>
    <row r="53">
      <c r="A53" s="67" t="inlineStr">
        <is>
          <t>ALT052</t>
        </is>
      </c>
      <c r="B53" s="70" t="inlineStr">
        <is>
          <t>Front squat or heels-elevated squat</t>
        </is>
      </c>
      <c r="C53" s="70" t="inlineStr">
        <is>
          <t>Front squat</t>
        </is>
      </c>
      <c r="D53" s="70" t="inlineStr">
        <is>
          <t>Equipment match</t>
        </is>
      </c>
      <c r="E53" s="70" t="inlineStr">
        <is>
          <t>Equipment-compatible option.</t>
        </is>
      </c>
      <c r="F53" s="168" t="n">
        <v>46222.65625</v>
      </c>
    </row>
    <row r="54">
      <c r="A54" s="67" t="inlineStr">
        <is>
          <t>ALT053</t>
        </is>
      </c>
      <c r="B54" s="70" t="inlineStr">
        <is>
          <t>Front squat or heels-elevated squat</t>
        </is>
      </c>
      <c r="C54" s="70" t="inlineStr">
        <is>
          <t>Goblet squat</t>
        </is>
      </c>
      <c r="D54" s="70" t="inlineStr">
        <is>
          <t>Equipment match</t>
        </is>
      </c>
      <c r="E54" s="70" t="inlineStr">
        <is>
          <t>Equipment-compatible option.</t>
        </is>
      </c>
      <c r="F54" s="168" t="n">
        <v>46222.65625</v>
      </c>
    </row>
    <row r="55">
      <c r="A55" s="67" t="inlineStr">
        <is>
          <t>ALT054</t>
        </is>
      </c>
      <c r="B55" s="70" t="inlineStr">
        <is>
          <t>Front squat or heels-elevated squat</t>
        </is>
      </c>
      <c r="C55" s="70" t="inlineStr">
        <is>
          <t>Landmine squat</t>
        </is>
      </c>
      <c r="D55" s="70" t="inlineStr">
        <is>
          <t>Equipment match</t>
        </is>
      </c>
      <c r="E55" s="70" t="inlineStr">
        <is>
          <t>Equipment-compatible option.</t>
        </is>
      </c>
      <c r="F55" s="168" t="n">
        <v>46222.65625</v>
      </c>
    </row>
    <row r="56">
      <c r="A56" s="67" t="inlineStr">
        <is>
          <t>ALT055</t>
        </is>
      </c>
      <c r="B56" s="70" t="inlineStr">
        <is>
          <t>Front squat or heels-elevated squat</t>
        </is>
      </c>
      <c r="C56" s="70" t="inlineStr">
        <is>
          <t>Leg press</t>
        </is>
      </c>
      <c r="D56" s="70" t="inlineStr">
        <is>
          <t>Equipment match</t>
        </is>
      </c>
      <c r="E56" s="70" t="inlineStr">
        <is>
          <t>Equipment-compatible option.</t>
        </is>
      </c>
      <c r="F56" s="168" t="n">
        <v>46222.65625</v>
      </c>
    </row>
    <row r="57">
      <c r="A57" s="67" t="inlineStr">
        <is>
          <t>ALT056</t>
        </is>
      </c>
      <c r="B57" s="70" t="inlineStr">
        <is>
          <t>Front squat or heels-elevated squat</t>
        </is>
      </c>
      <c r="C57" s="70" t="inlineStr">
        <is>
          <t>Hack squat</t>
        </is>
      </c>
      <c r="D57" s="70" t="inlineStr">
        <is>
          <t>Equipment match</t>
        </is>
      </c>
      <c r="E57" s="70" t="inlineStr">
        <is>
          <t>Equipment-compatible option.</t>
        </is>
      </c>
      <c r="F57" s="168" t="n">
        <v>46222.65625</v>
      </c>
    </row>
    <row r="58">
      <c r="A58" s="67" t="inlineStr">
        <is>
          <t>ALT057</t>
        </is>
      </c>
      <c r="B58" s="70" t="inlineStr">
        <is>
          <t>Front squat or heels-elevated squat</t>
        </is>
      </c>
      <c r="C58" s="70" t="inlineStr">
        <is>
          <t>Smith-machine squat</t>
        </is>
      </c>
      <c r="D58" s="70" t="inlineStr">
        <is>
          <t>Equipment match</t>
        </is>
      </c>
      <c r="E58" s="70" t="inlineStr">
        <is>
          <t>Equipment-compatible option.</t>
        </is>
      </c>
      <c r="F58" s="168" t="n">
        <v>46222.65625</v>
      </c>
    </row>
    <row r="59">
      <c r="A59" s="67" t="inlineStr">
        <is>
          <t>ALT058</t>
        </is>
      </c>
      <c r="B59" s="70" t="inlineStr">
        <is>
          <t>Front squat or heels-elevated squat</t>
        </is>
      </c>
      <c r="C59" s="70" t="inlineStr">
        <is>
          <t>Slant-board squat</t>
        </is>
      </c>
      <c r="D59" s="70" t="inlineStr">
        <is>
          <t>Equipment match</t>
        </is>
      </c>
      <c r="E59" s="70" t="inlineStr">
        <is>
          <t>Equipment-compatible option.</t>
        </is>
      </c>
      <c r="F59" s="168" t="n">
        <v>46222.65625</v>
      </c>
    </row>
    <row r="60">
      <c r="A60" s="67" t="inlineStr">
        <is>
          <t>ALT059</t>
        </is>
      </c>
      <c r="B60" s="70" t="inlineStr">
        <is>
          <t>Front squat or Bulgarian split squat</t>
        </is>
      </c>
      <c r="C60" s="70" t="inlineStr">
        <is>
          <t>Front squat</t>
        </is>
      </c>
      <c r="D60" s="70" t="inlineStr">
        <is>
          <t>Equipment match</t>
        </is>
      </c>
      <c r="E60" s="70" t="inlineStr">
        <is>
          <t>Equipment-compatible option.</t>
        </is>
      </c>
      <c r="F60" s="168" t="n">
        <v>46222.65625</v>
      </c>
    </row>
    <row r="61">
      <c r="A61" s="67" t="inlineStr">
        <is>
          <t>ALT060</t>
        </is>
      </c>
      <c r="B61" s="70" t="inlineStr">
        <is>
          <t>Front squat or Bulgarian split squat</t>
        </is>
      </c>
      <c r="C61" s="70" t="inlineStr">
        <is>
          <t>Bulgarian split squat</t>
        </is>
      </c>
      <c r="D61" s="70" t="inlineStr">
        <is>
          <t>Equipment match</t>
        </is>
      </c>
      <c r="E61" s="70" t="inlineStr">
        <is>
          <t>Equipment-compatible option.</t>
        </is>
      </c>
      <c r="F61" s="168" t="n">
        <v>46222.65625</v>
      </c>
    </row>
    <row r="62">
      <c r="A62" s="67" t="inlineStr">
        <is>
          <t>ALT061</t>
        </is>
      </c>
      <c r="B62" s="70" t="inlineStr">
        <is>
          <t>Front squat or Bulgarian split squat</t>
        </is>
      </c>
      <c r="C62" s="70" t="inlineStr">
        <is>
          <t>Goblet squat</t>
        </is>
      </c>
      <c r="D62" s="70" t="inlineStr">
        <is>
          <t>Equipment match</t>
        </is>
      </c>
      <c r="E62" s="70" t="inlineStr">
        <is>
          <t>Equipment-compatible option.</t>
        </is>
      </c>
      <c r="F62" s="168" t="n">
        <v>46222.65625</v>
      </c>
    </row>
    <row r="63">
      <c r="A63" s="67" t="inlineStr">
        <is>
          <t>ALT062</t>
        </is>
      </c>
      <c r="B63" s="70" t="inlineStr">
        <is>
          <t>Front squat or Bulgarian split squat</t>
        </is>
      </c>
      <c r="C63" s="70" t="inlineStr">
        <is>
          <t>Leg press</t>
        </is>
      </c>
      <c r="D63" s="70" t="inlineStr">
        <is>
          <t>Equipment match</t>
        </is>
      </c>
      <c r="E63" s="70" t="inlineStr">
        <is>
          <t>Equipment-compatible option.</t>
        </is>
      </c>
      <c r="F63" s="168" t="n">
        <v>46222.65625</v>
      </c>
    </row>
    <row r="64">
      <c r="A64" s="67" t="inlineStr">
        <is>
          <t>ALT063</t>
        </is>
      </c>
      <c r="B64" s="70" t="inlineStr">
        <is>
          <t>Front squat or Bulgarian split squat</t>
        </is>
      </c>
      <c r="C64" s="70" t="inlineStr">
        <is>
          <t>Hack squat</t>
        </is>
      </c>
      <c r="D64" s="70" t="inlineStr">
        <is>
          <t>Equipment match</t>
        </is>
      </c>
      <c r="E64" s="70" t="inlineStr">
        <is>
          <t>Equipment-compatible option.</t>
        </is>
      </c>
      <c r="F64" s="168" t="n">
        <v>46222.65625</v>
      </c>
    </row>
    <row r="65">
      <c r="A65" s="67" t="inlineStr">
        <is>
          <t>ALT064</t>
        </is>
      </c>
      <c r="B65" s="70" t="inlineStr">
        <is>
          <t>Front squat or Bulgarian split squat</t>
        </is>
      </c>
      <c r="C65" s="70" t="inlineStr">
        <is>
          <t>Bodyweight split squat</t>
        </is>
      </c>
      <c r="D65" s="70" t="inlineStr">
        <is>
          <t>Equipment match</t>
        </is>
      </c>
      <c r="E65" s="70" t="inlineStr">
        <is>
          <t>Equipment-compatible option.</t>
        </is>
      </c>
      <c r="F65" s="168" t="n">
        <v>46222.65625</v>
      </c>
    </row>
    <row r="66">
      <c r="A66" s="67" t="inlineStr">
        <is>
          <t>ALT065</t>
        </is>
      </c>
      <c r="B66" s="70" t="inlineStr">
        <is>
          <t>Romanian deadlift</t>
        </is>
      </c>
      <c r="C66" s="70" t="inlineStr">
        <is>
          <t>Kettlebell Romanian deadlift</t>
        </is>
      </c>
      <c r="D66" s="70" t="inlineStr">
        <is>
          <t>Equipment match</t>
        </is>
      </c>
      <c r="E66" s="70" t="inlineStr">
        <is>
          <t>Equipment-compatible option.</t>
        </is>
      </c>
      <c r="F66" s="168" t="n">
        <v>46222.65625</v>
      </c>
    </row>
    <row r="67">
      <c r="A67" s="67" t="inlineStr">
        <is>
          <t>ALT066</t>
        </is>
      </c>
      <c r="B67" s="70" t="inlineStr">
        <is>
          <t>Romanian deadlift</t>
        </is>
      </c>
      <c r="C67" s="70" t="inlineStr">
        <is>
          <t>Trap-bar deadlift</t>
        </is>
      </c>
      <c r="D67" s="70" t="inlineStr">
        <is>
          <t>Equipment match</t>
        </is>
      </c>
      <c r="E67" s="70" t="inlineStr">
        <is>
          <t>Equipment-compatible option.</t>
        </is>
      </c>
      <c r="F67" s="168" t="n">
        <v>46222.65625</v>
      </c>
    </row>
    <row r="68">
      <c r="A68" s="67" t="inlineStr">
        <is>
          <t>ALT067</t>
        </is>
      </c>
      <c r="B68" s="70" t="inlineStr">
        <is>
          <t>Romanian deadlift</t>
        </is>
      </c>
      <c r="C68" s="70" t="inlineStr">
        <is>
          <t>Stability-ball leg curl</t>
        </is>
      </c>
      <c r="D68" s="70" t="inlineStr">
        <is>
          <t>Equipment match</t>
        </is>
      </c>
      <c r="E68" s="70" t="inlineStr">
        <is>
          <t>Equipment-compatible option.</t>
        </is>
      </c>
      <c r="F68" s="168" t="n">
        <v>46222.65625</v>
      </c>
    </row>
    <row r="69">
      <c r="A69" s="67" t="inlineStr">
        <is>
          <t>ALT068</t>
        </is>
      </c>
      <c r="B69" s="70" t="inlineStr">
        <is>
          <t>Romanian deadlift or hip thrust</t>
        </is>
      </c>
      <c r="C69" s="70" t="inlineStr">
        <is>
          <t>Romanian deadlift</t>
        </is>
      </c>
      <c r="D69" s="70" t="inlineStr">
        <is>
          <t>Equipment match</t>
        </is>
      </c>
      <c r="E69" s="70" t="inlineStr">
        <is>
          <t>Equipment-compatible option.</t>
        </is>
      </c>
      <c r="F69" s="168" t="n">
        <v>46222.65625</v>
      </c>
    </row>
    <row r="70">
      <c r="A70" s="67" t="inlineStr">
        <is>
          <t>ALT069</t>
        </is>
      </c>
      <c r="B70" s="70" t="inlineStr">
        <is>
          <t>Romanian deadlift or hip thrust</t>
        </is>
      </c>
      <c r="C70" s="70" t="inlineStr">
        <is>
          <t>Dumbbell Romanian deadlift</t>
        </is>
      </c>
      <c r="D70" s="70" t="inlineStr">
        <is>
          <t>Equipment match</t>
        </is>
      </c>
      <c r="E70" s="70" t="inlineStr">
        <is>
          <t>Equipment-compatible option.</t>
        </is>
      </c>
      <c r="F70" s="168" t="n">
        <v>46222.65625</v>
      </c>
    </row>
    <row r="71">
      <c r="A71" s="67" t="inlineStr">
        <is>
          <t>ALT070</t>
        </is>
      </c>
      <c r="B71" s="70" t="inlineStr">
        <is>
          <t>Romanian deadlift or hip thrust</t>
        </is>
      </c>
      <c r="C71" s="70" t="inlineStr">
        <is>
          <t>Dumbbell hip thrust</t>
        </is>
      </c>
      <c r="D71" s="70" t="inlineStr">
        <is>
          <t>Equipment match</t>
        </is>
      </c>
      <c r="E71" s="70" t="inlineStr">
        <is>
          <t>Equipment-compatible option.</t>
        </is>
      </c>
      <c r="F71" s="168" t="n">
        <v>46222.65625</v>
      </c>
    </row>
    <row r="72">
      <c r="A72" s="67" t="inlineStr">
        <is>
          <t>ALT071</t>
        </is>
      </c>
      <c r="B72" s="70" t="inlineStr">
        <is>
          <t>Romanian deadlift or hip thrust</t>
        </is>
      </c>
      <c r="C72" s="70" t="inlineStr">
        <is>
          <t>Smith-machine hip thrust</t>
        </is>
      </c>
      <c r="D72" s="70" t="inlineStr">
        <is>
          <t>Equipment match</t>
        </is>
      </c>
      <c r="E72" s="70" t="inlineStr">
        <is>
          <t>Equipment-compatible option.</t>
        </is>
      </c>
      <c r="F72" s="168" t="n">
        <v>46222.65625</v>
      </c>
    </row>
    <row r="73">
      <c r="A73" s="67" t="inlineStr">
        <is>
          <t>ALT072</t>
        </is>
      </c>
      <c r="B73" s="70" t="inlineStr">
        <is>
          <t>Romanian deadlift or hip thrust</t>
        </is>
      </c>
      <c r="C73" s="70" t="inlineStr">
        <is>
          <t>Glute bridge</t>
        </is>
      </c>
      <c r="D73" s="70" t="inlineStr">
        <is>
          <t>Equipment match</t>
        </is>
      </c>
      <c r="E73" s="70" t="inlineStr">
        <is>
          <t>Equipment-compatible option.</t>
        </is>
      </c>
      <c r="F73" s="168" t="n">
        <v>46222.65625</v>
      </c>
    </row>
    <row r="74">
      <c r="A74" s="67" t="inlineStr">
        <is>
          <t>ALT073</t>
        </is>
      </c>
      <c r="B74" s="70" t="inlineStr">
        <is>
          <t>Barbell hip thrust</t>
        </is>
      </c>
      <c r="C74" s="70" t="inlineStr">
        <is>
          <t>Dumbbell hip thrust</t>
        </is>
      </c>
      <c r="D74" s="70" t="inlineStr">
        <is>
          <t>Equipment match</t>
        </is>
      </c>
      <c r="E74" s="70" t="inlineStr">
        <is>
          <t>Equipment-compatible option.</t>
        </is>
      </c>
      <c r="F74" s="168" t="n">
        <v>46222.65625</v>
      </c>
    </row>
    <row r="75">
      <c r="A75" s="67" t="inlineStr">
        <is>
          <t>ALT074</t>
        </is>
      </c>
      <c r="B75" s="70" t="inlineStr">
        <is>
          <t>Barbell hip thrust</t>
        </is>
      </c>
      <c r="C75" s="70" t="inlineStr">
        <is>
          <t>Smith-machine hip thrust</t>
        </is>
      </c>
      <c r="D75" s="70" t="inlineStr">
        <is>
          <t>Equipment match</t>
        </is>
      </c>
      <c r="E75" s="70" t="inlineStr">
        <is>
          <t>Equipment-compatible option.</t>
        </is>
      </c>
      <c r="F75" s="168" t="n">
        <v>46222.65625</v>
      </c>
    </row>
    <row r="76">
      <c r="A76" s="67" t="inlineStr">
        <is>
          <t>ALT075</t>
        </is>
      </c>
      <c r="B76" s="70" t="inlineStr">
        <is>
          <t>Barbell hip thrust</t>
        </is>
      </c>
      <c r="C76" s="70" t="inlineStr">
        <is>
          <t>Glute bridge</t>
        </is>
      </c>
      <c r="D76" s="70" t="inlineStr">
        <is>
          <t>Equipment match</t>
        </is>
      </c>
      <c r="E76" s="70" t="inlineStr">
        <is>
          <t>Equipment-compatible option.</t>
        </is>
      </c>
      <c r="F76" s="168" t="n">
        <v>46222.65625</v>
      </c>
    </row>
    <row r="77">
      <c r="A77" s="67" t="inlineStr">
        <is>
          <t>ALT076</t>
        </is>
      </c>
      <c r="B77" s="70" t="inlineStr">
        <is>
          <t>Hip thrust or cable leg curl</t>
        </is>
      </c>
      <c r="C77" s="70" t="inlineStr">
        <is>
          <t>Barbell hip thrust</t>
        </is>
      </c>
      <c r="D77" s="70" t="inlineStr">
        <is>
          <t>Equipment match</t>
        </is>
      </c>
      <c r="E77" s="70" t="inlineStr">
        <is>
          <t>Equipment-compatible option.</t>
        </is>
      </c>
      <c r="F77" s="168" t="n">
        <v>46222.65625</v>
      </c>
    </row>
    <row r="78">
      <c r="A78" s="67" t="inlineStr">
        <is>
          <t>ALT077</t>
        </is>
      </c>
      <c r="B78" s="70" t="inlineStr">
        <is>
          <t>Hip thrust or cable leg curl</t>
        </is>
      </c>
      <c r="C78" s="70" t="inlineStr">
        <is>
          <t>Dumbbell hip thrust</t>
        </is>
      </c>
      <c r="D78" s="70" t="inlineStr">
        <is>
          <t>Equipment match</t>
        </is>
      </c>
      <c r="E78" s="70" t="inlineStr">
        <is>
          <t>Equipment-compatible option.</t>
        </is>
      </c>
      <c r="F78" s="168" t="n">
        <v>46222.65625</v>
      </c>
    </row>
    <row r="79">
      <c r="A79" s="67" t="inlineStr">
        <is>
          <t>ALT078</t>
        </is>
      </c>
      <c r="B79" s="70" t="inlineStr">
        <is>
          <t>Hip thrust or cable leg curl</t>
        </is>
      </c>
      <c r="C79" s="70" t="inlineStr">
        <is>
          <t>Smith-machine hip thrust</t>
        </is>
      </c>
      <c r="D79" s="70" t="inlineStr">
        <is>
          <t>Equipment match</t>
        </is>
      </c>
      <c r="E79" s="70" t="inlineStr">
        <is>
          <t>Equipment-compatible option.</t>
        </is>
      </c>
      <c r="F79" s="168" t="n">
        <v>46222.65625</v>
      </c>
    </row>
    <row r="80">
      <c r="A80" s="67" t="inlineStr">
        <is>
          <t>ALT079</t>
        </is>
      </c>
      <c r="B80" s="70" t="inlineStr">
        <is>
          <t>Hip thrust or cable leg curl</t>
        </is>
      </c>
      <c r="C80" s="70" t="inlineStr">
        <is>
          <t>Cable leg curl</t>
        </is>
      </c>
      <c r="D80" s="70" t="inlineStr">
        <is>
          <t>Equipment match</t>
        </is>
      </c>
      <c r="E80" s="70" t="inlineStr">
        <is>
          <t>Equipment-compatible option.</t>
        </is>
      </c>
      <c r="F80" s="168" t="n">
        <v>46222.65625</v>
      </c>
    </row>
    <row r="81">
      <c r="A81" s="67" t="inlineStr">
        <is>
          <t>ALT080</t>
        </is>
      </c>
      <c r="B81" s="70" t="inlineStr">
        <is>
          <t>Hip thrust or cable leg curl</t>
        </is>
      </c>
      <c r="C81" s="70" t="inlineStr">
        <is>
          <t>Seated leg curl</t>
        </is>
      </c>
      <c r="D81" s="70" t="inlineStr">
        <is>
          <t>Equipment match</t>
        </is>
      </c>
      <c r="E81" s="70" t="inlineStr">
        <is>
          <t>Equipment-compatible option.</t>
        </is>
      </c>
      <c r="F81" s="168" t="n">
        <v>46222.65625</v>
      </c>
    </row>
    <row r="82">
      <c r="A82" s="67" t="inlineStr">
        <is>
          <t>ALT081</t>
        </is>
      </c>
      <c r="B82" s="70" t="inlineStr">
        <is>
          <t>Hip thrust or cable leg curl</t>
        </is>
      </c>
      <c r="C82" s="70" t="inlineStr">
        <is>
          <t>Lying leg curl</t>
        </is>
      </c>
      <c r="D82" s="70" t="inlineStr">
        <is>
          <t>Equipment match</t>
        </is>
      </c>
      <c r="E82" s="70" t="inlineStr">
        <is>
          <t>Equipment-compatible option.</t>
        </is>
      </c>
      <c r="F82" s="168" t="n">
        <v>46222.65625</v>
      </c>
    </row>
    <row r="83">
      <c r="A83" s="67" t="inlineStr">
        <is>
          <t>ALT082</t>
        </is>
      </c>
      <c r="B83" s="70" t="inlineStr">
        <is>
          <t>Hip thrust or cable leg curl</t>
        </is>
      </c>
      <c r="C83" s="70" t="inlineStr">
        <is>
          <t>Banded leg curl</t>
        </is>
      </c>
      <c r="D83" s="70" t="inlineStr">
        <is>
          <t>Equipment match</t>
        </is>
      </c>
      <c r="E83" s="70" t="inlineStr">
        <is>
          <t>Equipment-compatible option.</t>
        </is>
      </c>
      <c r="F83" s="168" t="n">
        <v>46222.65625</v>
      </c>
    </row>
    <row r="84">
      <c r="A84" s="67" t="inlineStr">
        <is>
          <t>ALT083</t>
        </is>
      </c>
      <c r="B84" s="70" t="inlineStr">
        <is>
          <t>Hip thrust or cable leg curl</t>
        </is>
      </c>
      <c r="C84" s="70" t="inlineStr">
        <is>
          <t>Stability-ball leg curl</t>
        </is>
      </c>
      <c r="D84" s="70" t="inlineStr">
        <is>
          <t>Equipment match</t>
        </is>
      </c>
      <c r="E84" s="70" t="inlineStr">
        <is>
          <t>Equipment-compatible option.</t>
        </is>
      </c>
      <c r="F84" s="168" t="n">
        <v>46222.65625</v>
      </c>
    </row>
    <row r="85">
      <c r="A85" s="67" t="inlineStr">
        <is>
          <t>ALT084</t>
        </is>
      </c>
      <c r="B85" s="70" t="inlineStr">
        <is>
          <t>Bulgarian split squat</t>
        </is>
      </c>
      <c r="C85" s="70" t="inlineStr">
        <is>
          <t>Reverse lunge</t>
        </is>
      </c>
      <c r="D85" s="70" t="inlineStr">
        <is>
          <t>Equipment match</t>
        </is>
      </c>
      <c r="E85" s="70" t="inlineStr">
        <is>
          <t>Equipment-compatible option.</t>
        </is>
      </c>
      <c r="F85" s="168" t="n">
        <v>46222.65625</v>
      </c>
    </row>
    <row r="86">
      <c r="A86" s="67" t="inlineStr">
        <is>
          <t>ALT085</t>
        </is>
      </c>
      <c r="B86" s="70" t="inlineStr">
        <is>
          <t>Bulgarian split squat</t>
        </is>
      </c>
      <c r="C86" s="70" t="inlineStr">
        <is>
          <t>Step-up</t>
        </is>
      </c>
      <c r="D86" s="70" t="inlineStr">
        <is>
          <t>Equipment match</t>
        </is>
      </c>
      <c r="E86" s="70" t="inlineStr">
        <is>
          <t>Equipment-compatible option.</t>
        </is>
      </c>
      <c r="F86" s="168" t="n">
        <v>46222.65625</v>
      </c>
    </row>
    <row r="87">
      <c r="A87" s="67" t="inlineStr">
        <is>
          <t>ALT086</t>
        </is>
      </c>
      <c r="B87" s="70" t="inlineStr">
        <is>
          <t>Bulgarian split squat</t>
        </is>
      </c>
      <c r="C87" s="70" t="inlineStr">
        <is>
          <t>Walking lunge</t>
        </is>
      </c>
      <c r="D87" s="70" t="inlineStr">
        <is>
          <t>Equipment match</t>
        </is>
      </c>
      <c r="E87" s="70" t="inlineStr">
        <is>
          <t>Equipment-compatible option.</t>
        </is>
      </c>
      <c r="F87" s="168" t="n">
        <v>46222.65625</v>
      </c>
    </row>
    <row r="88">
      <c r="A88" s="67" t="inlineStr">
        <is>
          <t>ALT087</t>
        </is>
      </c>
      <c r="B88" s="70" t="inlineStr">
        <is>
          <t>Bulgarian split squat</t>
        </is>
      </c>
      <c r="C88" s="70" t="inlineStr">
        <is>
          <t>Bodyweight split squat</t>
        </is>
      </c>
      <c r="D88" s="70" t="inlineStr">
        <is>
          <t>Equipment match</t>
        </is>
      </c>
      <c r="E88" s="70" t="inlineStr">
        <is>
          <t>Equipment-compatible option.</t>
        </is>
      </c>
      <c r="F88" s="168" t="n">
        <v>46222.65625</v>
      </c>
    </row>
    <row r="89">
      <c r="A89" s="67" t="inlineStr">
        <is>
          <t>ALT088</t>
        </is>
      </c>
      <c r="B89" s="70" t="inlineStr">
        <is>
          <t>Bulgarian split squat</t>
        </is>
      </c>
      <c r="C89" s="70" t="inlineStr">
        <is>
          <t>Leg press</t>
        </is>
      </c>
      <c r="D89" s="70" t="inlineStr">
        <is>
          <t>Equipment match</t>
        </is>
      </c>
      <c r="E89" s="70" t="inlineStr">
        <is>
          <t>Equipment-compatible option.</t>
        </is>
      </c>
      <c r="F89" s="168" t="n">
        <v>46222.65625</v>
      </c>
    </row>
    <row r="90">
      <c r="A90" s="67" t="inlineStr">
        <is>
          <t>ALT089</t>
        </is>
      </c>
      <c r="B90" s="70" t="inlineStr">
        <is>
          <t>Cable leg curl</t>
        </is>
      </c>
      <c r="C90" s="70" t="inlineStr">
        <is>
          <t>Seated leg curl</t>
        </is>
      </c>
      <c r="D90" s="70" t="inlineStr">
        <is>
          <t>Equipment match</t>
        </is>
      </c>
      <c r="E90" s="70" t="inlineStr">
        <is>
          <t>Equipment-compatible option.</t>
        </is>
      </c>
      <c r="F90" s="168" t="n">
        <v>46222.65625</v>
      </c>
    </row>
    <row r="91">
      <c r="A91" s="67" t="inlineStr">
        <is>
          <t>ALT090</t>
        </is>
      </c>
      <c r="B91" s="70" t="inlineStr">
        <is>
          <t>Cable leg curl</t>
        </is>
      </c>
      <c r="C91" s="70" t="inlineStr">
        <is>
          <t>Lying leg curl</t>
        </is>
      </c>
      <c r="D91" s="70" t="inlineStr">
        <is>
          <t>Equipment match</t>
        </is>
      </c>
      <c r="E91" s="70" t="inlineStr">
        <is>
          <t>Equipment-compatible option.</t>
        </is>
      </c>
      <c r="F91" s="168" t="n">
        <v>46222.65625</v>
      </c>
    </row>
    <row r="92">
      <c r="A92" s="67" t="inlineStr">
        <is>
          <t>ALT091</t>
        </is>
      </c>
      <c r="B92" s="70" t="inlineStr">
        <is>
          <t>Cable leg curl</t>
        </is>
      </c>
      <c r="C92" s="70" t="inlineStr">
        <is>
          <t>Banded leg curl</t>
        </is>
      </c>
      <c r="D92" s="70" t="inlineStr">
        <is>
          <t>Equipment match</t>
        </is>
      </c>
      <c r="E92" s="70" t="inlineStr">
        <is>
          <t>Equipment-compatible option.</t>
        </is>
      </c>
      <c r="F92" s="168" t="n">
        <v>46222.65625</v>
      </c>
    </row>
    <row r="93">
      <c r="A93" s="67" t="inlineStr">
        <is>
          <t>ALT092</t>
        </is>
      </c>
      <c r="B93" s="70" t="inlineStr">
        <is>
          <t>Cable leg curl</t>
        </is>
      </c>
      <c r="C93" s="70" t="inlineStr">
        <is>
          <t>Stability-ball leg curl</t>
        </is>
      </c>
      <c r="D93" s="70" t="inlineStr">
        <is>
          <t>Equipment match</t>
        </is>
      </c>
      <c r="E93" s="70" t="inlineStr">
        <is>
          <t>Equipment-compatible option.</t>
        </is>
      </c>
      <c r="F93" s="168" t="n">
        <v>46222.65625</v>
      </c>
    </row>
    <row r="94">
      <c r="A94" s="67" t="inlineStr">
        <is>
          <t>ALT093</t>
        </is>
      </c>
      <c r="B94" s="70" t="inlineStr">
        <is>
          <t>Cable leg curl</t>
        </is>
      </c>
      <c r="C94" s="70" t="inlineStr">
        <is>
          <t>Nordic hamstring curl</t>
        </is>
      </c>
      <c r="D94" s="70" t="inlineStr">
        <is>
          <t>Equipment match</t>
        </is>
      </c>
      <c r="E94" s="70" t="inlineStr">
        <is>
          <t>Equipment-compatible option.</t>
        </is>
      </c>
      <c r="F94" s="168" t="n">
        <v>46222.65625</v>
      </c>
    </row>
    <row r="95">
      <c r="A95" s="67" t="inlineStr">
        <is>
          <t>ALT094</t>
        </is>
      </c>
      <c r="B95" s="70" t="inlineStr">
        <is>
          <t>Standing calf raise</t>
        </is>
      </c>
      <c r="C95" s="70" t="inlineStr">
        <is>
          <t>Single-leg calf raise</t>
        </is>
      </c>
      <c r="D95" s="70" t="inlineStr">
        <is>
          <t>Equipment match</t>
        </is>
      </c>
      <c r="E95" s="70" t="inlineStr">
        <is>
          <t>Equipment-compatible option.</t>
        </is>
      </c>
      <c r="F95" s="168" t="n">
        <v>46222.65625</v>
      </c>
    </row>
    <row r="96">
      <c r="A96" s="67" t="inlineStr">
        <is>
          <t>ALT095</t>
        </is>
      </c>
      <c r="B96" s="70" t="inlineStr">
        <is>
          <t>Standing calf raise</t>
        </is>
      </c>
      <c r="C96" s="70" t="inlineStr">
        <is>
          <t>Seated calf raise</t>
        </is>
      </c>
      <c r="D96" s="70" t="inlineStr">
        <is>
          <t>Equipment match</t>
        </is>
      </c>
      <c r="E96" s="70" t="inlineStr">
        <is>
          <t>Equipment-compatible option.</t>
        </is>
      </c>
      <c r="F96" s="168" t="n">
        <v>46222.65625</v>
      </c>
    </row>
    <row r="97">
      <c r="A97" s="67" t="inlineStr">
        <is>
          <t>ALT096</t>
        </is>
      </c>
      <c r="B97" s="70" t="inlineStr">
        <is>
          <t>Barbell bench press</t>
        </is>
      </c>
      <c r="C97" s="70" t="inlineStr">
        <is>
          <t>Push-up</t>
        </is>
      </c>
      <c r="D97" s="70" t="inlineStr">
        <is>
          <t>Equipment match</t>
        </is>
      </c>
      <c r="E97" s="70" t="inlineStr">
        <is>
          <t>Equipment-compatible option.</t>
        </is>
      </c>
      <c r="F97" s="168" t="n">
        <v>46222.65625</v>
      </c>
    </row>
    <row r="98">
      <c r="A98" s="67" t="inlineStr">
        <is>
          <t>ALT097</t>
        </is>
      </c>
      <c r="B98" s="70" t="inlineStr">
        <is>
          <t>Barbell bench press</t>
        </is>
      </c>
      <c r="C98" s="70" t="inlineStr">
        <is>
          <t>Smith-machine bench press</t>
        </is>
      </c>
      <c r="D98" s="70" t="inlineStr">
        <is>
          <t>Equipment match</t>
        </is>
      </c>
      <c r="E98" s="70" t="inlineStr">
        <is>
          <t>Equipment-compatible option.</t>
        </is>
      </c>
      <c r="F98" s="168" t="n">
        <v>46222.65625</v>
      </c>
    </row>
    <row r="99">
      <c r="A99" s="67" t="inlineStr">
        <is>
          <t>ALT098</t>
        </is>
      </c>
      <c r="B99" s="70" t="inlineStr">
        <is>
          <t>Barbell bench press</t>
        </is>
      </c>
      <c r="C99" s="70" t="inlineStr">
        <is>
          <t>Chest press machine</t>
        </is>
      </c>
      <c r="D99" s="70" t="inlineStr">
        <is>
          <t>Equipment match</t>
        </is>
      </c>
      <c r="E99" s="70" t="inlineStr">
        <is>
          <t>Equipment-compatible option.</t>
        </is>
      </c>
      <c r="F99" s="168" t="n">
        <v>46222.65625</v>
      </c>
    </row>
    <row r="100">
      <c r="A100" s="67" t="inlineStr">
        <is>
          <t>ALT099</t>
        </is>
      </c>
      <c r="B100" s="70" t="inlineStr">
        <is>
          <t>Barbell bench press</t>
        </is>
      </c>
      <c r="C100" s="70" t="inlineStr">
        <is>
          <t>Swiss-bar bench press</t>
        </is>
      </c>
      <c r="D100" s="70" t="inlineStr">
        <is>
          <t>Equipment match</t>
        </is>
      </c>
      <c r="E100" s="70" t="inlineStr">
        <is>
          <t>Equipment-compatible option.</t>
        </is>
      </c>
      <c r="F100" s="168" t="n">
        <v>46222.65625</v>
      </c>
    </row>
    <row r="101">
      <c r="A101" s="67" t="inlineStr">
        <is>
          <t>ALT100</t>
        </is>
      </c>
      <c r="B101" s="70" t="inlineStr">
        <is>
          <t>Incline dumbbell press</t>
        </is>
      </c>
      <c r="C101" s="70" t="inlineStr">
        <is>
          <t>Feet-elevated push-up</t>
        </is>
      </c>
      <c r="D101" s="70" t="inlineStr">
        <is>
          <t>Equipment match</t>
        </is>
      </c>
      <c r="E101" s="70" t="inlineStr">
        <is>
          <t>Equipment-compatible option.</t>
        </is>
      </c>
      <c r="F101" s="168" t="n">
        <v>46222.65625</v>
      </c>
    </row>
    <row r="102">
      <c r="A102" s="67" t="inlineStr">
        <is>
          <t>ALT101</t>
        </is>
      </c>
      <c r="B102" s="70" t="inlineStr">
        <is>
          <t>Incline dumbbell press</t>
        </is>
      </c>
      <c r="C102" s="70" t="inlineStr">
        <is>
          <t>Landmine press</t>
        </is>
      </c>
      <c r="D102" s="70" t="inlineStr">
        <is>
          <t>Equipment match</t>
        </is>
      </c>
      <c r="E102" s="70" t="inlineStr">
        <is>
          <t>Equipment-compatible option.</t>
        </is>
      </c>
      <c r="F102" s="168" t="n">
        <v>46222.65625</v>
      </c>
    </row>
    <row r="103">
      <c r="A103" s="67" t="inlineStr">
        <is>
          <t>ALT102</t>
        </is>
      </c>
      <c r="B103" s="70" t="inlineStr">
        <is>
          <t>Incline dumbbell press</t>
        </is>
      </c>
      <c r="C103" s="70" t="inlineStr">
        <is>
          <t>Chest press machine</t>
        </is>
      </c>
      <c r="D103" s="70" t="inlineStr">
        <is>
          <t>Equipment match</t>
        </is>
      </c>
      <c r="E103" s="70" t="inlineStr">
        <is>
          <t>Equipment-compatible option.</t>
        </is>
      </c>
      <c r="F103" s="168" t="n">
        <v>46222.65625</v>
      </c>
    </row>
    <row r="104">
      <c r="A104" s="67" t="inlineStr">
        <is>
          <t>ALT103</t>
        </is>
      </c>
      <c r="B104" s="70" t="inlineStr">
        <is>
          <t>Cable lat pulldown or ring chin-up</t>
        </is>
      </c>
      <c r="C104" s="70" t="inlineStr">
        <is>
          <t>Pull-up</t>
        </is>
      </c>
      <c r="D104" s="70" t="inlineStr">
        <is>
          <t>Equipment match</t>
        </is>
      </c>
      <c r="E104" s="70" t="inlineStr">
        <is>
          <t>Equipment-compatible option.</t>
        </is>
      </c>
      <c r="F104" s="168" t="n">
        <v>46222.65625</v>
      </c>
    </row>
    <row r="105">
      <c r="A105" s="67" t="inlineStr">
        <is>
          <t>ALT104</t>
        </is>
      </c>
      <c r="B105" s="70" t="inlineStr">
        <is>
          <t>Cable lat pulldown or ring chin-up</t>
        </is>
      </c>
      <c r="C105" s="70" t="inlineStr">
        <is>
          <t>Band-assisted pull-up</t>
        </is>
      </c>
      <c r="D105" s="70" t="inlineStr">
        <is>
          <t>Equipment match</t>
        </is>
      </c>
      <c r="E105" s="70" t="inlineStr">
        <is>
          <t>Equipment-compatible option.</t>
        </is>
      </c>
      <c r="F105" s="168" t="n">
        <v>46222.65625</v>
      </c>
    </row>
    <row r="106">
      <c r="A106" s="67" t="inlineStr">
        <is>
          <t>ALT105</t>
        </is>
      </c>
      <c r="B106" s="70" t="inlineStr">
        <is>
          <t>Cable lat pulldown or ring chin-up</t>
        </is>
      </c>
      <c r="C106" s="70" t="inlineStr">
        <is>
          <t>Band lat pulldown</t>
        </is>
      </c>
      <c r="D106" s="70" t="inlineStr">
        <is>
          <t>Equipment match</t>
        </is>
      </c>
      <c r="E106" s="70" t="inlineStr">
        <is>
          <t>Equipment-compatible option.</t>
        </is>
      </c>
      <c r="F106" s="168" t="n">
        <v>46222.65625</v>
      </c>
    </row>
    <row r="107">
      <c r="A107" s="67" t="inlineStr">
        <is>
          <t>ALT106</t>
        </is>
      </c>
      <c r="B107" s="70" t="inlineStr">
        <is>
          <t>Pulldown or chin-up</t>
        </is>
      </c>
      <c r="C107" s="70" t="inlineStr">
        <is>
          <t>Pull-up</t>
        </is>
      </c>
      <c r="D107" s="70" t="inlineStr">
        <is>
          <t>Equipment match</t>
        </is>
      </c>
      <c r="E107" s="70" t="inlineStr">
        <is>
          <t>Equipment-compatible option.</t>
        </is>
      </c>
      <c r="F107" s="168" t="n">
        <v>46222.65625</v>
      </c>
    </row>
    <row r="108">
      <c r="A108" s="67" t="inlineStr">
        <is>
          <t>ALT107</t>
        </is>
      </c>
      <c r="B108" s="70" t="inlineStr">
        <is>
          <t>Pulldown or chin-up</t>
        </is>
      </c>
      <c r="C108" s="70" t="inlineStr">
        <is>
          <t>Band-assisted pull-up</t>
        </is>
      </c>
      <c r="D108" s="70" t="inlineStr">
        <is>
          <t>Equipment match</t>
        </is>
      </c>
      <c r="E108" s="70" t="inlineStr">
        <is>
          <t>Equipment-compatible option.</t>
        </is>
      </c>
      <c r="F108" s="168" t="n">
        <v>46222.65625</v>
      </c>
    </row>
    <row r="109">
      <c r="A109" s="67" t="inlineStr">
        <is>
          <t>ALT108</t>
        </is>
      </c>
      <c r="B109" s="70" t="inlineStr">
        <is>
          <t>Pulldown or chin-up</t>
        </is>
      </c>
      <c r="C109" s="70" t="inlineStr">
        <is>
          <t>Band lat pulldown</t>
        </is>
      </c>
      <c r="D109" s="70" t="inlineStr">
        <is>
          <t>Equipment match</t>
        </is>
      </c>
      <c r="E109" s="70" t="inlineStr">
        <is>
          <t>Equipment-compatible option.</t>
        </is>
      </c>
      <c r="F109" s="168" t="n">
        <v>46222.65625</v>
      </c>
    </row>
    <row r="110">
      <c r="A110" s="67" t="inlineStr">
        <is>
          <t>ALT109</t>
        </is>
      </c>
      <c r="B110" s="70" t="inlineStr">
        <is>
          <t>Weighted chin-up or heavy pulldown</t>
        </is>
      </c>
      <c r="C110" s="70" t="inlineStr">
        <is>
          <t>Pull-up</t>
        </is>
      </c>
      <c r="D110" s="70" t="inlineStr">
        <is>
          <t>Equipment match</t>
        </is>
      </c>
      <c r="E110" s="70" t="inlineStr">
        <is>
          <t>Equipment-compatible option.</t>
        </is>
      </c>
      <c r="F110" s="168" t="n">
        <v>46222.65625</v>
      </c>
    </row>
    <row r="111">
      <c r="A111" s="67" t="inlineStr">
        <is>
          <t>ALT110</t>
        </is>
      </c>
      <c r="B111" s="70" t="inlineStr">
        <is>
          <t>Weighted chin-up or heavy pulldown</t>
        </is>
      </c>
      <c r="C111" s="70" t="inlineStr">
        <is>
          <t>Ring chin-up</t>
        </is>
      </c>
      <c r="D111" s="70" t="inlineStr">
        <is>
          <t>Equipment match</t>
        </is>
      </c>
      <c r="E111" s="70" t="inlineStr">
        <is>
          <t>Equipment-compatible option.</t>
        </is>
      </c>
      <c r="F111" s="168" t="n">
        <v>46222.65625</v>
      </c>
    </row>
    <row r="112">
      <c r="A112" s="67" t="inlineStr">
        <is>
          <t>ALT111</t>
        </is>
      </c>
      <c r="B112" s="70" t="inlineStr">
        <is>
          <t>Weighted chin-up or heavy pulldown</t>
        </is>
      </c>
      <c r="C112" s="70" t="inlineStr">
        <is>
          <t>Band lat pulldown</t>
        </is>
      </c>
      <c r="D112" s="70" t="inlineStr">
        <is>
          <t>Equipment match</t>
        </is>
      </c>
      <c r="E112" s="70" t="inlineStr">
        <is>
          <t>Equipment-compatible option.</t>
        </is>
      </c>
      <c r="F112" s="168" t="n">
        <v>46222.65625</v>
      </c>
    </row>
    <row r="113">
      <c r="A113" s="67" t="inlineStr">
        <is>
          <t>ALT112</t>
        </is>
      </c>
      <c r="B113" s="70" t="inlineStr">
        <is>
          <t>Chest-supported dumbbell row</t>
        </is>
      </c>
      <c r="C113" s="70" t="inlineStr">
        <is>
          <t>One-arm dumbbell row</t>
        </is>
      </c>
      <c r="D113" s="70" t="inlineStr">
        <is>
          <t>Equipment match</t>
        </is>
      </c>
      <c r="E113" s="70" t="inlineStr">
        <is>
          <t>Equipment-compatible option.</t>
        </is>
      </c>
      <c r="F113" s="168" t="n">
        <v>46222.65625</v>
      </c>
    </row>
    <row r="114">
      <c r="A114" s="67" t="inlineStr">
        <is>
          <t>ALT113</t>
        </is>
      </c>
      <c r="B114" s="70" t="inlineStr">
        <is>
          <t>Chest-supported dumbbell row</t>
        </is>
      </c>
      <c r="C114" s="70" t="inlineStr">
        <is>
          <t>Band row</t>
        </is>
      </c>
      <c r="D114" s="70" t="inlineStr">
        <is>
          <t>Equipment match</t>
        </is>
      </c>
      <c r="E114" s="70" t="inlineStr">
        <is>
          <t>Equipment-compatible option.</t>
        </is>
      </c>
      <c r="F114" s="168" t="n">
        <v>46222.65625</v>
      </c>
    </row>
    <row r="115">
      <c r="A115" s="67" t="inlineStr">
        <is>
          <t>ALT114</t>
        </is>
      </c>
      <c r="B115" s="70" t="inlineStr">
        <is>
          <t>Chest-supported dumbbell row</t>
        </is>
      </c>
      <c r="C115" s="70" t="inlineStr">
        <is>
          <t>Landmine T-bar row</t>
        </is>
      </c>
      <c r="D115" s="70" t="inlineStr">
        <is>
          <t>Equipment match</t>
        </is>
      </c>
      <c r="E115" s="70" t="inlineStr">
        <is>
          <t>Equipment-compatible option.</t>
        </is>
      </c>
      <c r="F115" s="168" t="n">
        <v>46222.65625</v>
      </c>
    </row>
    <row r="116">
      <c r="A116" s="67" t="inlineStr">
        <is>
          <t>ALT115</t>
        </is>
      </c>
      <c r="B116" s="70" t="inlineStr">
        <is>
          <t>One-arm cable row</t>
        </is>
      </c>
      <c r="C116" s="70" t="inlineStr">
        <is>
          <t>One-arm dumbbell row</t>
        </is>
      </c>
      <c r="D116" s="70" t="inlineStr">
        <is>
          <t>Equipment match</t>
        </is>
      </c>
      <c r="E116" s="70" t="inlineStr">
        <is>
          <t>Equipment-compatible option.</t>
        </is>
      </c>
      <c r="F116" s="168" t="n">
        <v>46222.65625</v>
      </c>
    </row>
    <row r="117">
      <c r="A117" s="67" t="inlineStr">
        <is>
          <t>ALT116</t>
        </is>
      </c>
      <c r="B117" s="70" t="inlineStr">
        <is>
          <t>One-arm cable row</t>
        </is>
      </c>
      <c r="C117" s="70" t="inlineStr">
        <is>
          <t>Band row</t>
        </is>
      </c>
      <c r="D117" s="70" t="inlineStr">
        <is>
          <t>Equipment match</t>
        </is>
      </c>
      <c r="E117" s="70" t="inlineStr">
        <is>
          <t>Equipment-compatible option.</t>
        </is>
      </c>
      <c r="F117" s="168" t="n">
        <v>46222.65625</v>
      </c>
    </row>
    <row r="118">
      <c r="A118" s="67" t="inlineStr">
        <is>
          <t>ALT117</t>
        </is>
      </c>
      <c r="B118" s="70" t="inlineStr">
        <is>
          <t>One-arm cable row</t>
        </is>
      </c>
      <c r="C118" s="70" t="inlineStr">
        <is>
          <t>Landmine T-bar row</t>
        </is>
      </c>
      <c r="D118" s="70" t="inlineStr">
        <is>
          <t>Equipment match</t>
        </is>
      </c>
      <c r="E118" s="70" t="inlineStr">
        <is>
          <t>Equipment-compatible option.</t>
        </is>
      </c>
      <c r="F118" s="168" t="n">
        <v>46222.65625</v>
      </c>
    </row>
    <row r="119">
      <c r="A119" s="67" t="inlineStr">
        <is>
          <t>ALT118</t>
        </is>
      </c>
      <c r="B119" s="70" t="inlineStr">
        <is>
          <t>Seated dumbbell overhead press</t>
        </is>
      </c>
      <c r="C119" s="70" t="inlineStr">
        <is>
          <t>Arnold press</t>
        </is>
      </c>
      <c r="D119" s="70" t="inlineStr">
        <is>
          <t>Equipment match</t>
        </is>
      </c>
      <c r="E119" s="70" t="inlineStr">
        <is>
          <t>Equipment-compatible option.</t>
        </is>
      </c>
      <c r="F119" s="168" t="n">
        <v>46222.65625</v>
      </c>
    </row>
    <row r="120">
      <c r="A120" s="67" t="inlineStr">
        <is>
          <t>ALT119</t>
        </is>
      </c>
      <c r="B120" s="70" t="inlineStr">
        <is>
          <t>Seated dumbbell overhead press</t>
        </is>
      </c>
      <c r="C120" s="70" t="inlineStr">
        <is>
          <t>Landmine press</t>
        </is>
      </c>
      <c r="D120" s="70" t="inlineStr">
        <is>
          <t>Equipment match</t>
        </is>
      </c>
      <c r="E120" s="70" t="inlineStr">
        <is>
          <t>Equipment-compatible option.</t>
        </is>
      </c>
      <c r="F120" s="168" t="n">
        <v>46222.65625</v>
      </c>
    </row>
    <row r="121">
      <c r="A121" s="67" t="inlineStr">
        <is>
          <t>ALT120</t>
        </is>
      </c>
      <c r="B121" s="70" t="inlineStr">
        <is>
          <t>Seated dumbbell overhead press</t>
        </is>
      </c>
      <c r="C121" s="70" t="inlineStr">
        <is>
          <t>Pike push-up</t>
        </is>
      </c>
      <c r="D121" s="70" t="inlineStr">
        <is>
          <t>Equipment match</t>
        </is>
      </c>
      <c r="E121" s="70" t="inlineStr">
        <is>
          <t>Equipment-compatible option.</t>
        </is>
      </c>
      <c r="F121" s="168" t="n">
        <v>46222.65625</v>
      </c>
    </row>
    <row r="122">
      <c r="A122" s="67" t="inlineStr">
        <is>
          <t>ALT121</t>
        </is>
      </c>
      <c r="B122" s="70" t="inlineStr">
        <is>
          <t>Close-grip bench press or weighted ring push-up</t>
        </is>
      </c>
      <c r="C122" s="70" t="inlineStr">
        <is>
          <t>Close-grip bench press</t>
        </is>
      </c>
      <c r="D122" s="70" t="inlineStr">
        <is>
          <t>Equipment match</t>
        </is>
      </c>
      <c r="E122" s="70" t="inlineStr">
        <is>
          <t>Equipment-compatible option.</t>
        </is>
      </c>
      <c r="F122" s="168" t="n">
        <v>46222.65625</v>
      </c>
    </row>
    <row r="123">
      <c r="A123" s="67" t="inlineStr">
        <is>
          <t>ALT122</t>
        </is>
      </c>
      <c r="B123" s="70" t="inlineStr">
        <is>
          <t>Close-grip bench press or weighted ring push-up</t>
        </is>
      </c>
      <c r="C123" s="70" t="inlineStr">
        <is>
          <t>Weighted ring push-up</t>
        </is>
      </c>
      <c r="D123" s="70" t="inlineStr">
        <is>
          <t>Equipment match</t>
        </is>
      </c>
      <c r="E123" s="70" t="inlineStr">
        <is>
          <t>Equipment-compatible option.</t>
        </is>
      </c>
      <c r="F123" s="168" t="n">
        <v>46222.65625</v>
      </c>
    </row>
    <row r="124">
      <c r="A124" s="67" t="inlineStr">
        <is>
          <t>ALT123</t>
        </is>
      </c>
      <c r="B124" s="70" t="inlineStr">
        <is>
          <t>Close-grip bench press or weighted ring push-up</t>
        </is>
      </c>
      <c r="C124" s="70" t="inlineStr">
        <is>
          <t>Parallel-bar dip</t>
        </is>
      </c>
      <c r="D124" s="70" t="inlineStr">
        <is>
          <t>Equipment match</t>
        </is>
      </c>
      <c r="E124" s="70" t="inlineStr">
        <is>
          <t>Equipment-compatible option.</t>
        </is>
      </c>
      <c r="F124" s="168" t="n">
        <v>46222.65625</v>
      </c>
    </row>
    <row r="125">
      <c r="A125" s="67" t="inlineStr">
        <is>
          <t>ALT124</t>
        </is>
      </c>
      <c r="B125" s="70" t="inlineStr">
        <is>
          <t>Close-grip bench press or weighted ring push-up</t>
        </is>
      </c>
      <c r="C125" s="70" t="inlineStr">
        <is>
          <t>Close-grip push-up</t>
        </is>
      </c>
      <c r="D125" s="70" t="inlineStr">
        <is>
          <t>Equipment match</t>
        </is>
      </c>
      <c r="E125" s="70" t="inlineStr">
        <is>
          <t>Equipment-compatible option.</t>
        </is>
      </c>
      <c r="F125" s="168" t="n">
        <v>46222.65625</v>
      </c>
    </row>
    <row r="126">
      <c r="A126" s="67" t="inlineStr">
        <is>
          <t>ALT125</t>
        </is>
      </c>
      <c r="B126" s="70" t="inlineStr">
        <is>
          <t>Close-grip bench press or weighted ring push-up</t>
        </is>
      </c>
      <c r="C126" s="70" t="inlineStr">
        <is>
          <t>Band-assisted dip</t>
        </is>
      </c>
      <c r="D126" s="70" t="inlineStr">
        <is>
          <t>Equipment match</t>
        </is>
      </c>
      <c r="E126" s="70" t="inlineStr">
        <is>
          <t>Equipment-compatible option.</t>
        </is>
      </c>
      <c r="F126" s="168" t="n">
        <v>46222.65625</v>
      </c>
    </row>
    <row r="127">
      <c r="A127" s="67" t="inlineStr">
        <is>
          <t>ALT126</t>
        </is>
      </c>
      <c r="B127" s="70" t="inlineStr">
        <is>
          <t>Cable lateral raise</t>
        </is>
      </c>
      <c r="C127" s="70" t="inlineStr">
        <is>
          <t>Band lateral raise</t>
        </is>
      </c>
      <c r="D127" s="70" t="inlineStr">
        <is>
          <t>Equipment match</t>
        </is>
      </c>
      <c r="E127" s="70" t="inlineStr">
        <is>
          <t>Equipment-compatible option.</t>
        </is>
      </c>
      <c r="F127" s="168" t="n">
        <v>46222.65625</v>
      </c>
    </row>
    <row r="128">
      <c r="A128" s="67" t="inlineStr">
        <is>
          <t>ALT127</t>
        </is>
      </c>
      <c r="B128" s="70" t="inlineStr">
        <is>
          <t>Cable rear-delt fly or face pull</t>
        </is>
      </c>
      <c r="C128" s="70" t="inlineStr">
        <is>
          <t>Dumbbell rear-delt fly</t>
        </is>
      </c>
      <c r="D128" s="70" t="inlineStr">
        <is>
          <t>Equipment match</t>
        </is>
      </c>
      <c r="E128" s="70" t="inlineStr">
        <is>
          <t>Equipment-compatible option.</t>
        </is>
      </c>
      <c r="F128" s="168" t="n">
        <v>46222.65625</v>
      </c>
    </row>
    <row r="129">
      <c r="A129" s="67" t="inlineStr">
        <is>
          <t>ALT128</t>
        </is>
      </c>
      <c r="B129" s="70" t="inlineStr">
        <is>
          <t>Cable rear-delt fly or face pull</t>
        </is>
      </c>
      <c r="C129" s="70" t="inlineStr">
        <is>
          <t>Reverse pec deck</t>
        </is>
      </c>
      <c r="D129" s="70" t="inlineStr">
        <is>
          <t>Equipment match</t>
        </is>
      </c>
      <c r="E129" s="70" t="inlineStr">
        <is>
          <t>Equipment-compatible option.</t>
        </is>
      </c>
      <c r="F129" s="168" t="n">
        <v>46222.65625</v>
      </c>
    </row>
    <row r="130">
      <c r="A130" s="67" t="inlineStr">
        <is>
          <t>ALT129</t>
        </is>
      </c>
      <c r="B130" s="70" t="inlineStr">
        <is>
          <t>Cable rear-delt fly or face pull</t>
        </is>
      </c>
      <c r="C130" s="70" t="inlineStr">
        <is>
          <t>Band face pull</t>
        </is>
      </c>
      <c r="D130" s="70" t="inlineStr">
        <is>
          <t>Equipment match</t>
        </is>
      </c>
      <c r="E130" s="70" t="inlineStr">
        <is>
          <t>Equipment-compatible option.</t>
        </is>
      </c>
      <c r="F130" s="168" t="n">
        <v>46222.65625</v>
      </c>
    </row>
    <row r="131">
      <c r="A131" s="67" t="inlineStr">
        <is>
          <t>ALT130</t>
        </is>
      </c>
      <c r="B131" s="70" t="inlineStr">
        <is>
          <t>Rear-delt cable fly</t>
        </is>
      </c>
      <c r="C131" s="70" t="inlineStr">
        <is>
          <t>Dumbbell rear-delt fly</t>
        </is>
      </c>
      <c r="D131" s="70" t="inlineStr">
        <is>
          <t>Equipment match</t>
        </is>
      </c>
      <c r="E131" s="70" t="inlineStr">
        <is>
          <t>Equipment-compatible option.</t>
        </is>
      </c>
      <c r="F131" s="168" t="n">
        <v>46222.65625</v>
      </c>
    </row>
    <row r="132">
      <c r="A132" s="67" t="inlineStr">
        <is>
          <t>ALT131</t>
        </is>
      </c>
      <c r="B132" s="70" t="inlineStr">
        <is>
          <t>Rear-delt cable fly</t>
        </is>
      </c>
      <c r="C132" s="70" t="inlineStr">
        <is>
          <t>Reverse pec deck</t>
        </is>
      </c>
      <c r="D132" s="70" t="inlineStr">
        <is>
          <t>Equipment match</t>
        </is>
      </c>
      <c r="E132" s="70" t="inlineStr">
        <is>
          <t>Equipment-compatible option.</t>
        </is>
      </c>
      <c r="F132" s="168" t="n">
        <v>46222.65625</v>
      </c>
    </row>
    <row r="133">
      <c r="A133" s="67" t="inlineStr">
        <is>
          <t>ALT132</t>
        </is>
      </c>
      <c r="B133" s="70" t="inlineStr">
        <is>
          <t>Rear-delt cable fly</t>
        </is>
      </c>
      <c r="C133" s="70" t="inlineStr">
        <is>
          <t>Band face pull</t>
        </is>
      </c>
      <c r="D133" s="70" t="inlineStr">
        <is>
          <t>Equipment match</t>
        </is>
      </c>
      <c r="E133" s="70" t="inlineStr">
        <is>
          <t>Equipment-compatible option.</t>
        </is>
      </c>
      <c r="F133" s="168" t="n">
        <v>46222.65625</v>
      </c>
    </row>
    <row r="134">
      <c r="A134" s="67" t="inlineStr">
        <is>
          <t>ALT133</t>
        </is>
      </c>
      <c r="B134" s="70" t="inlineStr">
        <is>
          <t>Cable triceps pushdown</t>
        </is>
      </c>
      <c r="C134" s="70" t="inlineStr">
        <is>
          <t>Band triceps pushdown</t>
        </is>
      </c>
      <c r="D134" s="70" t="inlineStr">
        <is>
          <t>Equipment match</t>
        </is>
      </c>
      <c r="E134" s="70" t="inlineStr">
        <is>
          <t>Equipment-compatible option.</t>
        </is>
      </c>
      <c r="F134" s="168" t="n">
        <v>46222.65625</v>
      </c>
    </row>
    <row r="135">
      <c r="A135" s="67" t="inlineStr">
        <is>
          <t>ALT134</t>
        </is>
      </c>
      <c r="B135" s="70" t="inlineStr">
        <is>
          <t>Cable triceps pushdown</t>
        </is>
      </c>
      <c r="C135" s="70" t="inlineStr">
        <is>
          <t>Dumbbell skull crusher</t>
        </is>
      </c>
      <c r="D135" s="70" t="inlineStr">
        <is>
          <t>Equipment match</t>
        </is>
      </c>
      <c r="E135" s="70" t="inlineStr">
        <is>
          <t>Equipment-compatible option.</t>
        </is>
      </c>
      <c r="F135" s="168" t="n">
        <v>46222.65625</v>
      </c>
    </row>
    <row r="136">
      <c r="A136" s="67" t="inlineStr">
        <is>
          <t>ALT135</t>
        </is>
      </c>
      <c r="B136" s="70" t="inlineStr">
        <is>
          <t>Cable triceps pushdown</t>
        </is>
      </c>
      <c r="C136" s="70" t="inlineStr">
        <is>
          <t>EZ-bar skull crusher</t>
        </is>
      </c>
      <c r="D136" s="70" t="inlineStr">
        <is>
          <t>Equipment match</t>
        </is>
      </c>
      <c r="E136" s="70" t="inlineStr">
        <is>
          <t>Equipment-compatible option.</t>
        </is>
      </c>
      <c r="F136" s="168" t="n">
        <v>46222.65625</v>
      </c>
    </row>
    <row r="137">
      <c r="A137" s="67" t="inlineStr">
        <is>
          <t>ALT136</t>
        </is>
      </c>
      <c r="B137" s="70" t="inlineStr">
        <is>
          <t>Cable triceps pushdown</t>
        </is>
      </c>
      <c r="C137" s="70" t="inlineStr">
        <is>
          <t>Close-grip push-up</t>
        </is>
      </c>
      <c r="D137" s="70" t="inlineStr">
        <is>
          <t>Equipment match</t>
        </is>
      </c>
      <c r="E137" s="70" t="inlineStr">
        <is>
          <t>Equipment-compatible option.</t>
        </is>
      </c>
      <c r="F137" s="168" t="n">
        <v>46222.65625</v>
      </c>
    </row>
    <row r="138">
      <c r="A138" s="67" t="inlineStr">
        <is>
          <t>ALT137</t>
        </is>
      </c>
      <c r="B138" s="70" t="inlineStr">
        <is>
          <t>Overhead cable triceps extension</t>
        </is>
      </c>
      <c r="C138" s="70" t="inlineStr">
        <is>
          <t>Dumbbell skull crusher</t>
        </is>
      </c>
      <c r="D138" s="70" t="inlineStr">
        <is>
          <t>Equipment match</t>
        </is>
      </c>
      <c r="E138" s="70" t="inlineStr">
        <is>
          <t>Equipment-compatible option.</t>
        </is>
      </c>
      <c r="F138" s="168" t="n">
        <v>46222.65625</v>
      </c>
    </row>
    <row r="139">
      <c r="A139" s="67" t="inlineStr">
        <is>
          <t>ALT138</t>
        </is>
      </c>
      <c r="B139" s="70" t="inlineStr">
        <is>
          <t>Overhead cable triceps extension</t>
        </is>
      </c>
      <c r="C139" s="70" t="inlineStr">
        <is>
          <t>EZ-bar skull crusher</t>
        </is>
      </c>
      <c r="D139" s="70" t="inlineStr">
        <is>
          <t>Equipment match</t>
        </is>
      </c>
      <c r="E139" s="70" t="inlineStr">
        <is>
          <t>Equipment-compatible option.</t>
        </is>
      </c>
      <c r="F139" s="168" t="n">
        <v>46222.65625</v>
      </c>
    </row>
    <row r="140">
      <c r="A140" s="67" t="inlineStr">
        <is>
          <t>ALT139</t>
        </is>
      </c>
      <c r="B140" s="70" t="inlineStr">
        <is>
          <t>Overhead cable triceps extension</t>
        </is>
      </c>
      <c r="C140" s="70" t="inlineStr">
        <is>
          <t>Band triceps pushdown</t>
        </is>
      </c>
      <c r="D140" s="70" t="inlineStr">
        <is>
          <t>Equipment match</t>
        </is>
      </c>
      <c r="E140" s="70" t="inlineStr">
        <is>
          <t>Equipment-compatible option.</t>
        </is>
      </c>
      <c r="F140" s="168" t="n">
        <v>46222.65625</v>
      </c>
    </row>
    <row r="141">
      <c r="A141" s="67" t="inlineStr">
        <is>
          <t>ALT140</t>
        </is>
      </c>
      <c r="B141" s="70" t="inlineStr">
        <is>
          <t>Overhead triceps extension</t>
        </is>
      </c>
      <c r="C141" s="70" t="inlineStr">
        <is>
          <t>Overhead cable triceps extension</t>
        </is>
      </c>
      <c r="D141" s="70" t="inlineStr">
        <is>
          <t>Equipment match</t>
        </is>
      </c>
      <c r="E141" s="70" t="inlineStr">
        <is>
          <t>Equipment-compatible option.</t>
        </is>
      </c>
      <c r="F141" s="168" t="n">
        <v>46222.65625</v>
      </c>
    </row>
    <row r="142">
      <c r="A142" s="67" t="inlineStr">
        <is>
          <t>ALT141</t>
        </is>
      </c>
      <c r="B142" s="70" t="inlineStr">
        <is>
          <t>Overhead triceps extension</t>
        </is>
      </c>
      <c r="C142" s="70" t="inlineStr">
        <is>
          <t>Dumbbell skull crusher</t>
        </is>
      </c>
      <c r="D142" s="70" t="inlineStr">
        <is>
          <t>Equipment match</t>
        </is>
      </c>
      <c r="E142" s="70" t="inlineStr">
        <is>
          <t>Equipment-compatible option.</t>
        </is>
      </c>
      <c r="F142" s="168" t="n">
        <v>46222.65625</v>
      </c>
    </row>
    <row r="143">
      <c r="A143" s="67" t="inlineStr">
        <is>
          <t>ALT142</t>
        </is>
      </c>
      <c r="B143" s="70" t="inlineStr">
        <is>
          <t>Overhead triceps extension</t>
        </is>
      </c>
      <c r="C143" s="70" t="inlineStr">
        <is>
          <t>EZ-bar skull crusher</t>
        </is>
      </c>
      <c r="D143" s="70" t="inlineStr">
        <is>
          <t>Equipment match</t>
        </is>
      </c>
      <c r="E143" s="70" t="inlineStr">
        <is>
          <t>Equipment-compatible option.</t>
        </is>
      </c>
      <c r="F143" s="168" t="n">
        <v>46222.65625</v>
      </c>
    </row>
    <row r="144">
      <c r="A144" s="67" t="inlineStr">
        <is>
          <t>ALT143</t>
        </is>
      </c>
      <c r="B144" s="70" t="inlineStr">
        <is>
          <t>Overhead triceps extension</t>
        </is>
      </c>
      <c r="C144" s="70" t="inlineStr">
        <is>
          <t>Band triceps pushdown</t>
        </is>
      </c>
      <c r="D144" s="70" t="inlineStr">
        <is>
          <t>Equipment match</t>
        </is>
      </c>
      <c r="E144" s="70" t="inlineStr">
        <is>
          <t>Equipment-compatible option.</t>
        </is>
      </c>
      <c r="F144" s="168" t="n">
        <v>46222.65625</v>
      </c>
    </row>
    <row r="145">
      <c r="A145" s="67" t="inlineStr">
        <is>
          <t>ALT144</t>
        </is>
      </c>
      <c r="B145" s="70" t="inlineStr">
        <is>
          <t>Incline dumbbell or cable curl</t>
        </is>
      </c>
      <c r="C145" s="70" t="inlineStr">
        <is>
          <t>EZ-bar curl</t>
        </is>
      </c>
      <c r="D145" s="70" t="inlineStr">
        <is>
          <t>Equipment match</t>
        </is>
      </c>
      <c r="E145" s="70" t="inlineStr">
        <is>
          <t>Equipment-compatible option.</t>
        </is>
      </c>
      <c r="F145" s="168" t="n">
        <v>46222.65625</v>
      </c>
    </row>
    <row r="146">
      <c r="A146" s="67" t="inlineStr">
        <is>
          <t>ALT145</t>
        </is>
      </c>
      <c r="B146" s="70" t="inlineStr">
        <is>
          <t>Incline dumbbell or cable curl</t>
        </is>
      </c>
      <c r="C146" s="70" t="inlineStr">
        <is>
          <t>Band curl</t>
        </is>
      </c>
      <c r="D146" s="70" t="inlineStr">
        <is>
          <t>Equipment match</t>
        </is>
      </c>
      <c r="E146" s="70" t="inlineStr">
        <is>
          <t>Equipment-compatible option.</t>
        </is>
      </c>
      <c r="F146" s="168" t="n">
        <v>46222.65625</v>
      </c>
    </row>
    <row r="147">
      <c r="A147" s="67" t="inlineStr">
        <is>
          <t>ALT146</t>
        </is>
      </c>
      <c r="B147" s="70" t="inlineStr">
        <is>
          <t>Incline dumbbell or cable curl</t>
        </is>
      </c>
      <c r="C147" s="70" t="inlineStr">
        <is>
          <t>Preacher curl</t>
        </is>
      </c>
      <c r="D147" s="70" t="inlineStr">
        <is>
          <t>Equipment match</t>
        </is>
      </c>
      <c r="E147" s="70" t="inlineStr">
        <is>
          <t>Equipment-compatible option.</t>
        </is>
      </c>
      <c r="F147" s="168" t="n">
        <v>46222.65625</v>
      </c>
    </row>
    <row r="148">
      <c r="A148" s="67" t="inlineStr">
        <is>
          <t>ALT147</t>
        </is>
      </c>
      <c r="B148" s="70" t="inlineStr">
        <is>
          <t>Cable curl</t>
        </is>
      </c>
      <c r="C148" s="70" t="inlineStr">
        <is>
          <t>Incline dumbbell curl</t>
        </is>
      </c>
      <c r="D148" s="70" t="inlineStr">
        <is>
          <t>Equipment match</t>
        </is>
      </c>
      <c r="E148" s="70" t="inlineStr">
        <is>
          <t>Equipment-compatible option.</t>
        </is>
      </c>
      <c r="F148" s="168" t="n">
        <v>46222.65625</v>
      </c>
    </row>
    <row r="149">
      <c r="A149" s="67" t="inlineStr">
        <is>
          <t>ALT148</t>
        </is>
      </c>
      <c r="B149" s="70" t="inlineStr">
        <is>
          <t>Cable curl</t>
        </is>
      </c>
      <c r="C149" s="70" t="inlineStr">
        <is>
          <t>Dumbbell hammer curl</t>
        </is>
      </c>
      <c r="D149" s="70" t="inlineStr">
        <is>
          <t>Equipment match</t>
        </is>
      </c>
      <c r="E149" s="70" t="inlineStr">
        <is>
          <t>Equipment-compatible option.</t>
        </is>
      </c>
      <c r="F149" s="168" t="n">
        <v>46222.65625</v>
      </c>
    </row>
    <row r="150">
      <c r="A150" s="67" t="inlineStr">
        <is>
          <t>ALT149</t>
        </is>
      </c>
      <c r="B150" s="70" t="inlineStr">
        <is>
          <t>Cable curl</t>
        </is>
      </c>
      <c r="C150" s="70" t="inlineStr">
        <is>
          <t>EZ-bar curl</t>
        </is>
      </c>
      <c r="D150" s="70" t="inlineStr">
        <is>
          <t>Equipment match</t>
        </is>
      </c>
      <c r="E150" s="70" t="inlineStr">
        <is>
          <t>Equipment-compatible option.</t>
        </is>
      </c>
      <c r="F150" s="168" t="n">
        <v>46222.65625</v>
      </c>
    </row>
    <row r="151">
      <c r="A151" s="67" t="inlineStr">
        <is>
          <t>ALT150</t>
        </is>
      </c>
      <c r="B151" s="70" t="inlineStr">
        <is>
          <t>Cable curl</t>
        </is>
      </c>
      <c r="C151" s="70" t="inlineStr">
        <is>
          <t>Band curl</t>
        </is>
      </c>
      <c r="D151" s="70" t="inlineStr">
        <is>
          <t>Equipment match</t>
        </is>
      </c>
      <c r="E151" s="70" t="inlineStr">
        <is>
          <t>Equipment-compatible option.</t>
        </is>
      </c>
      <c r="F151" s="168" t="n">
        <v>46222.65625</v>
      </c>
    </row>
    <row r="152">
      <c r="A152" s="67" t="inlineStr">
        <is>
          <t>ALT151</t>
        </is>
      </c>
      <c r="B152" s="70" t="inlineStr">
        <is>
          <t>Cable curl</t>
        </is>
      </c>
      <c r="C152" s="70" t="inlineStr">
        <is>
          <t>Preacher curl</t>
        </is>
      </c>
      <c r="D152" s="70" t="inlineStr">
        <is>
          <t>Equipment match</t>
        </is>
      </c>
      <c r="E152" s="70" t="inlineStr">
        <is>
          <t>Equipment-compatible option.</t>
        </is>
      </c>
      <c r="F152" s="168" t="n">
        <v>46222.65625</v>
      </c>
    </row>
    <row r="153">
      <c r="A153" s="67" t="inlineStr">
        <is>
          <t>ALT152</t>
        </is>
      </c>
      <c r="B153" s="70" t="inlineStr">
        <is>
          <t>Dumbbell hammer curl</t>
        </is>
      </c>
      <c r="C153" s="70" t="inlineStr">
        <is>
          <t>EZ-bar curl</t>
        </is>
      </c>
      <c r="D153" s="70" t="inlineStr">
        <is>
          <t>Equipment match</t>
        </is>
      </c>
      <c r="E153" s="70" t="inlineStr">
        <is>
          <t>Equipment-compatible option.</t>
        </is>
      </c>
      <c r="F153" s="168" t="n">
        <v>46222.65625</v>
      </c>
    </row>
    <row r="154">
      <c r="A154" s="67" t="inlineStr">
        <is>
          <t>ALT153</t>
        </is>
      </c>
      <c r="B154" s="70" t="inlineStr">
        <is>
          <t>Dumbbell hammer curl</t>
        </is>
      </c>
      <c r="C154" s="70" t="inlineStr">
        <is>
          <t>Band curl</t>
        </is>
      </c>
      <c r="D154" s="70" t="inlineStr">
        <is>
          <t>Equipment match</t>
        </is>
      </c>
      <c r="E154" s="70" t="inlineStr">
        <is>
          <t>Equipment-compatible option.</t>
        </is>
      </c>
      <c r="F154" s="168" t="n">
        <v>46222.65625</v>
      </c>
    </row>
    <row r="155">
      <c r="A155" s="67" t="inlineStr">
        <is>
          <t>ALT154</t>
        </is>
      </c>
      <c r="B155" s="70" t="inlineStr">
        <is>
          <t>Hammer curl</t>
        </is>
      </c>
      <c r="C155" s="70" t="inlineStr">
        <is>
          <t>Dumbbell hammer curl</t>
        </is>
      </c>
      <c r="D155" s="70" t="inlineStr">
        <is>
          <t>Equipment match</t>
        </is>
      </c>
      <c r="E155" s="70" t="inlineStr">
        <is>
          <t>Equipment-compatible option.</t>
        </is>
      </c>
      <c r="F155" s="168" t="n">
        <v>46222.65625</v>
      </c>
    </row>
    <row r="156">
      <c r="A156" s="67" t="inlineStr">
        <is>
          <t>ALT155</t>
        </is>
      </c>
      <c r="B156" s="70" t="inlineStr">
        <is>
          <t>Hammer curl</t>
        </is>
      </c>
      <c r="C156" s="70" t="inlineStr">
        <is>
          <t>Cable curl</t>
        </is>
      </c>
      <c r="D156" s="70" t="inlineStr">
        <is>
          <t>Equipment match</t>
        </is>
      </c>
      <c r="E156" s="70" t="inlineStr">
        <is>
          <t>Equipment-compatible option.</t>
        </is>
      </c>
      <c r="F156" s="168" t="n">
        <v>46222.65625</v>
      </c>
    </row>
    <row r="157">
      <c r="A157" s="67" t="inlineStr">
        <is>
          <t>ALT156</t>
        </is>
      </c>
      <c r="B157" s="70" t="inlineStr">
        <is>
          <t>Hammer curl</t>
        </is>
      </c>
      <c r="C157" s="70" t="inlineStr">
        <is>
          <t>Band curl</t>
        </is>
      </c>
      <c r="D157" s="70" t="inlineStr">
        <is>
          <t>Equipment match</t>
        </is>
      </c>
      <c r="E157" s="70" t="inlineStr">
        <is>
          <t>Equipment-compatible option.</t>
        </is>
      </c>
      <c r="F157" s="168" t="n">
        <v>46222.65625</v>
      </c>
    </row>
    <row r="158">
      <c r="A158" s="67" t="inlineStr">
        <is>
          <t>ALT157</t>
        </is>
      </c>
      <c r="B158" s="70" t="inlineStr">
        <is>
          <t>Dead bug or Pallof press</t>
        </is>
      </c>
      <c r="C158" s="70" t="inlineStr">
        <is>
          <t>Band Pallof press</t>
        </is>
      </c>
      <c r="D158" s="70" t="inlineStr">
        <is>
          <t>Equipment match</t>
        </is>
      </c>
      <c r="E158" s="70" t="inlineStr">
        <is>
          <t>Equipment-compatible option.</t>
        </is>
      </c>
      <c r="F158" s="168" t="n">
        <v>46222.65625</v>
      </c>
    </row>
    <row r="159">
      <c r="A159" s="67" t="inlineStr">
        <is>
          <t>ALT158</t>
        </is>
      </c>
      <c r="B159" s="70" t="inlineStr">
        <is>
          <t>Dead bug or Pallof press</t>
        </is>
      </c>
      <c r="C159" s="70" t="inlineStr">
        <is>
          <t>Side plank</t>
        </is>
      </c>
      <c r="D159" s="70" t="inlineStr">
        <is>
          <t>Equipment match</t>
        </is>
      </c>
      <c r="E159" s="70" t="inlineStr">
        <is>
          <t>Equipment-compatible option.</t>
        </is>
      </c>
      <c r="F159" s="168" t="n">
        <v>46222.65625</v>
      </c>
    </row>
    <row r="160">
      <c r="A160" s="67" t="inlineStr">
        <is>
          <t>ALT159</t>
        </is>
      </c>
      <c r="B160" s="70" t="inlineStr">
        <is>
          <t>Ab wheel or cable crunch</t>
        </is>
      </c>
      <c r="C160" s="70" t="inlineStr">
        <is>
          <t>Ab wheel</t>
        </is>
      </c>
      <c r="D160" s="70" t="inlineStr">
        <is>
          <t>Equipment match</t>
        </is>
      </c>
      <c r="E160" s="70" t="inlineStr">
        <is>
          <t>Equipment-compatible option.</t>
        </is>
      </c>
      <c r="F160" s="168" t="n">
        <v>46222.65625</v>
      </c>
    </row>
    <row r="161">
      <c r="A161" s="67" t="inlineStr">
        <is>
          <t>ALT160</t>
        </is>
      </c>
      <c r="B161" s="70" t="inlineStr">
        <is>
          <t>Ab wheel or cable crunch</t>
        </is>
      </c>
      <c r="C161" s="70" t="inlineStr">
        <is>
          <t>Reverse crunch</t>
        </is>
      </c>
      <c r="D161" s="70" t="inlineStr">
        <is>
          <t>Equipment match</t>
        </is>
      </c>
      <c r="E161" s="70" t="inlineStr">
        <is>
          <t>Equipment-compatible option.</t>
        </is>
      </c>
      <c r="F161" s="168" t="n">
        <v>46222.65625</v>
      </c>
    </row>
    <row r="162">
      <c r="A162" s="77" t="inlineStr">
        <is>
          <t>ALT161</t>
        </is>
      </c>
      <c r="B162" s="81" t="inlineStr">
        <is>
          <t>Ab wheel or cable crunch</t>
        </is>
      </c>
      <c r="C162" s="81" t="inlineStr">
        <is>
          <t>Stability-ball crunch</t>
        </is>
      </c>
      <c r="D162" s="81" t="inlineStr">
        <is>
          <t>Equipment match</t>
        </is>
      </c>
      <c r="E162" s="81" t="inlineStr">
        <is>
          <t>Equipment-compatible option.</t>
        </is>
      </c>
      <c r="F162" s="169" t="n">
        <v>46222.65625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2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91" min="1" max="1"/>
    <col width="28" customWidth="1" style="91" min="2" max="2"/>
    <col width="20" customWidth="1" style="91" min="3" max="3"/>
    <col width="14" customWidth="1" style="91" min="4" max="4"/>
    <col width="19" customWidth="1" style="91" min="5" max="5"/>
    <col width="12" customWidth="1" style="91" min="6" max="6"/>
    <col width="11" customWidth="1" style="91" min="7" max="7"/>
    <col width="14" customWidth="1" style="91" min="8" max="8"/>
    <col width="10" customWidth="1" style="91" min="9" max="9"/>
    <col width="11" customWidth="1" style="91" min="10" max="10"/>
    <col width="10" customWidth="1" style="91" min="11" max="11"/>
    <col width="10" customWidth="1" style="91" min="12" max="12"/>
    <col width="10" customWidth="1" style="91" min="13" max="13"/>
    <col width="12" customWidth="1" style="91" min="14" max="14"/>
    <col width="34" customWidth="1" style="91" min="15" max="15"/>
    <col width="34" customWidth="1" style="91" min="16" max="16"/>
    <col width="24" customWidth="1" style="91" min="17" max="17"/>
    <col width="16" customWidth="1" style="91" min="18" max="18"/>
    <col width="36" customWidth="1" style="91" min="19" max="19"/>
    <col width="11" customWidth="1" style="91" min="20" max="20"/>
    <col width="54" customWidth="1" style="91" min="21" max="21"/>
    <col width="20" customWidth="1" style="91" min="22" max="22"/>
  </cols>
  <sheetData>
    <row r="1" ht="30" customHeight="1" s="91">
      <c r="A1" s="118" t="inlineStr">
        <is>
          <t>IngredientID</t>
        </is>
      </c>
      <c r="B1" s="118" t="inlineStr">
        <is>
          <t>IngredientName</t>
        </is>
      </c>
      <c r="C1" s="118" t="inlineStr">
        <is>
          <t>Brand</t>
        </is>
      </c>
      <c r="D1" s="118" t="inlineStr">
        <is>
          <t>FoodState</t>
        </is>
      </c>
      <c r="E1" s="118" t="inlineStr">
        <is>
          <t>ServingDescription</t>
        </is>
      </c>
      <c r="F1" s="118" t="inlineStr">
        <is>
          <t>BaseAmount</t>
        </is>
      </c>
      <c r="G1" s="118" t="inlineStr">
        <is>
          <t>BaseUnit</t>
        </is>
      </c>
      <c r="H1" s="118" t="inlineStr">
        <is>
          <t>DensityGPerMl</t>
        </is>
      </c>
      <c r="I1" s="118" t="inlineStr">
        <is>
          <t>kcal</t>
        </is>
      </c>
      <c r="J1" s="118" t="inlineStr">
        <is>
          <t>Protein_g</t>
        </is>
      </c>
      <c r="K1" s="118" t="inlineStr">
        <is>
          <t>Carbs_g</t>
        </is>
      </c>
      <c r="L1" s="118" t="inlineStr">
        <is>
          <t>Fat_g</t>
        </is>
      </c>
      <c r="M1" s="118" t="inlineStr">
        <is>
          <t>Fibre_g</t>
        </is>
      </c>
      <c r="N1" s="118" t="inlineStr">
        <is>
          <t>Sodium_mg</t>
        </is>
      </c>
      <c r="O1" s="118" t="inlineStr">
        <is>
          <t>AliasesJSON</t>
        </is>
      </c>
      <c r="P1" s="118" t="inlineStr">
        <is>
          <t>CommonMeasuresJSON</t>
        </is>
      </c>
      <c r="Q1" s="118" t="inlineStr">
        <is>
          <t>Source</t>
        </is>
      </c>
      <c r="R1" s="118" t="inlineStr">
        <is>
          <t>SourceID</t>
        </is>
      </c>
      <c r="S1" s="118" t="inlineStr">
        <is>
          <t>SourceURL</t>
        </is>
      </c>
      <c r="T1" s="118" t="inlineStr">
        <is>
          <t>Confirmed</t>
        </is>
      </c>
      <c r="U1" s="118" t="inlineStr">
        <is>
          <t>Notes</t>
        </is>
      </c>
      <c r="V1" s="118" t="inlineStr">
        <is>
          <t>UpdatedAt</t>
        </is>
      </c>
    </row>
    <row r="2">
      <c r="A2" s="142" t="inlineStr">
        <is>
          <t>ING001</t>
        </is>
      </c>
      <c r="B2" s="142" t="inlineStr">
        <is>
          <t>Chicken breast</t>
        </is>
      </c>
      <c r="C2" s="142" t="inlineStr"/>
      <c r="D2" s="142" t="inlineStr">
        <is>
          <t>cooked</t>
        </is>
      </c>
      <c r="E2" s="142" t="inlineStr">
        <is>
          <t>100 g cooked</t>
        </is>
      </c>
      <c r="F2" s="170" t="n">
        <v>100</v>
      </c>
      <c r="G2" s="170" t="inlineStr">
        <is>
          <t>g</t>
        </is>
      </c>
      <c r="H2" s="170" t="inlineStr"/>
      <c r="I2" s="170" t="n">
        <v>165</v>
      </c>
      <c r="J2" s="170" t="n">
        <v>31</v>
      </c>
      <c r="K2" s="170" t="n">
        <v>0</v>
      </c>
      <c r="L2" s="170" t="n">
        <v>3.6</v>
      </c>
      <c r="M2" s="170" t="n">
        <v>0</v>
      </c>
      <c r="N2" s="170" t="n">
        <v>0</v>
      </c>
      <c r="O2" s="142" t="inlineStr">
        <is>
          <t>["cooked chicken breast", "chicken breast cooked"]</t>
        </is>
      </c>
      <c r="P2" s="142" t="inlineStr">
        <is>
          <t>{"each": 150, "breast": 150}</t>
        </is>
      </c>
      <c r="Q2" s="142" t="inlineStr">
        <is>
          <t>Example cache – verify</t>
        </is>
      </c>
      <c r="R2" s="142" t="inlineStr"/>
      <c r="S2" s="142" t="inlineStr"/>
      <c r="T2" s="142" t="b">
        <v>0</v>
      </c>
      <c r="U2" s="142" t="inlineStr">
        <is>
          <t>Example only; replace with your package/cooked-weight values.</t>
        </is>
      </c>
      <c r="V2" s="171" t="n">
        <v>46222.41666666666</v>
      </c>
    </row>
    <row r="3">
      <c r="A3" s="142" t="inlineStr">
        <is>
          <t>ING002</t>
        </is>
      </c>
      <c r="B3" s="142" t="inlineStr">
        <is>
          <t>0% Greek yoghurt</t>
        </is>
      </c>
      <c r="C3" s="142" t="inlineStr"/>
      <c r="D3" s="142" t="inlineStr"/>
      <c r="E3" s="142" t="inlineStr">
        <is>
          <t>100 g</t>
        </is>
      </c>
      <c r="F3" s="170" t="n">
        <v>100</v>
      </c>
      <c r="G3" s="170" t="inlineStr">
        <is>
          <t>g</t>
        </is>
      </c>
      <c r="H3" s="170" t="n">
        <v>1.03</v>
      </c>
      <c r="I3" s="170" t="n">
        <v>59</v>
      </c>
      <c r="J3" s="170" t="n">
        <v>10.3</v>
      </c>
      <c r="K3" s="170" t="n">
        <v>3.6</v>
      </c>
      <c r="L3" s="170" t="n">
        <v>0.4</v>
      </c>
      <c r="M3" s="170" t="n">
        <v>0</v>
      </c>
      <c r="N3" s="170" t="n">
        <v>0</v>
      </c>
      <c r="O3" s="142" t="inlineStr">
        <is>
          <t>["greek yogurt", "greek yoghurt", "plain greek yogurt"]</t>
        </is>
      </c>
      <c r="P3" s="142" t="inlineStr">
        <is>
          <t>{"cup": 245, "tbsp": 15, "tsp": 5}</t>
        </is>
      </c>
      <c r="Q3" s="142" t="inlineStr">
        <is>
          <t>Example cache – verify</t>
        </is>
      </c>
      <c r="R3" s="142" t="inlineStr"/>
      <c r="S3" s="142" t="inlineStr"/>
      <c r="T3" s="142" t="b">
        <v>0</v>
      </c>
      <c r="U3" s="142" t="inlineStr">
        <is>
          <t>Example only; brands vary.</t>
        </is>
      </c>
      <c r="V3" s="171" t="n">
        <v>46222.41666666666</v>
      </c>
    </row>
    <row r="4">
      <c r="A4" s="142" t="inlineStr">
        <is>
          <t>ING003</t>
        </is>
      </c>
      <c r="B4" s="142" t="inlineStr">
        <is>
          <t>Whey protein</t>
        </is>
      </c>
      <c r="C4" s="142" t="inlineStr"/>
      <c r="D4" s="142" t="inlineStr"/>
      <c r="E4" s="142" t="inlineStr">
        <is>
          <t>30 g scoop</t>
        </is>
      </c>
      <c r="F4" s="170" t="n">
        <v>30</v>
      </c>
      <c r="G4" s="170" t="inlineStr">
        <is>
          <t>g</t>
        </is>
      </c>
      <c r="H4" s="170" t="inlineStr"/>
      <c r="I4" s="170" t="n">
        <v>120</v>
      </c>
      <c r="J4" s="170" t="n">
        <v>24</v>
      </c>
      <c r="K4" s="170" t="n">
        <v>3</v>
      </c>
      <c r="L4" s="170" t="n">
        <v>2</v>
      </c>
      <c r="M4" s="170" t="n">
        <v>0</v>
      </c>
      <c r="N4" s="170" t="n">
        <v>0</v>
      </c>
      <c r="O4" s="142" t="inlineStr">
        <is>
          <t>[]</t>
        </is>
      </c>
      <c r="P4" s="142" t="inlineStr">
        <is>
          <t>{"scoop": 30.0}</t>
        </is>
      </c>
      <c r="Q4" s="142" t="inlineStr">
        <is>
          <t>Example cache – verify</t>
        </is>
      </c>
      <c r="R4" s="142" t="inlineStr"/>
      <c r="S4" s="142" t="inlineStr"/>
      <c r="T4" s="142" t="b">
        <v>0</v>
      </c>
      <c r="U4" s="142" t="inlineStr">
        <is>
          <t>Use the exact label values.</t>
        </is>
      </c>
      <c r="V4" s="171" t="n">
        <v>46222.41666666666</v>
      </c>
    </row>
    <row r="5">
      <c r="A5" s="142" t="inlineStr">
        <is>
          <t>ING004</t>
        </is>
      </c>
      <c r="B5" s="142" t="inlineStr">
        <is>
          <t>Egg whites</t>
        </is>
      </c>
      <c r="C5" s="142" t="inlineStr"/>
      <c r="D5" s="142" t="inlineStr"/>
      <c r="E5" s="142" t="inlineStr">
        <is>
          <t>100 g</t>
        </is>
      </c>
      <c r="F5" s="170" t="n">
        <v>100</v>
      </c>
      <c r="G5" s="170" t="inlineStr">
        <is>
          <t>g</t>
        </is>
      </c>
      <c r="H5" s="170" t="inlineStr"/>
      <c r="I5" s="170" t="n">
        <v>52</v>
      </c>
      <c r="J5" s="170" t="n">
        <v>10.9</v>
      </c>
      <c r="K5" s="170" t="n">
        <v>0.7</v>
      </c>
      <c r="L5" s="170" t="n">
        <v>0.2</v>
      </c>
      <c r="M5" s="170" t="n">
        <v>0</v>
      </c>
      <c r="N5" s="170" t="n">
        <v>0</v>
      </c>
      <c r="O5" s="142" t="inlineStr">
        <is>
          <t>[]</t>
        </is>
      </c>
      <c r="P5" s="142" t="inlineStr">
        <is>
          <t>{}</t>
        </is>
      </c>
      <c r="Q5" s="142" t="inlineStr">
        <is>
          <t>Example cache – verify</t>
        </is>
      </c>
      <c r="R5" s="142" t="inlineStr"/>
      <c r="S5" s="142" t="inlineStr"/>
      <c r="T5" s="142" t="b">
        <v>0</v>
      </c>
      <c r="U5" s="142" t="inlineStr">
        <is>
          <t>Example only.</t>
        </is>
      </c>
      <c r="V5" s="171" t="n">
        <v>46222.41666666666</v>
      </c>
    </row>
    <row r="6">
      <c r="A6" s="142" t="inlineStr">
        <is>
          <t>ING005</t>
        </is>
      </c>
      <c r="B6" s="142" t="inlineStr">
        <is>
          <t>Cooked white rice</t>
        </is>
      </c>
      <c r="C6" s="142" t="inlineStr"/>
      <c r="D6" s="142" t="inlineStr"/>
      <c r="E6" s="142" t="inlineStr">
        <is>
          <t>100 g</t>
        </is>
      </c>
      <c r="F6" s="170" t="n">
        <v>100</v>
      </c>
      <c r="G6" s="170" t="inlineStr">
        <is>
          <t>g</t>
        </is>
      </c>
      <c r="H6" s="170" t="inlineStr"/>
      <c r="I6" s="170" t="n">
        <v>130</v>
      </c>
      <c r="J6" s="170" t="n">
        <v>2.4</v>
      </c>
      <c r="K6" s="170" t="n">
        <v>28.2</v>
      </c>
      <c r="L6" s="170" t="n">
        <v>0.3</v>
      </c>
      <c r="M6" s="170" t="n">
        <v>0</v>
      </c>
      <c r="N6" s="170" t="n">
        <v>0</v>
      </c>
      <c r="O6" s="142" t="inlineStr">
        <is>
          <t>[]</t>
        </is>
      </c>
      <c r="P6" s="142" t="inlineStr">
        <is>
          <t>{}</t>
        </is>
      </c>
      <c r="Q6" s="142" t="inlineStr">
        <is>
          <t>Example cache – verify</t>
        </is>
      </c>
      <c r="R6" s="142" t="inlineStr"/>
      <c r="S6" s="142" t="inlineStr"/>
      <c r="T6" s="142" t="b">
        <v>0</v>
      </c>
      <c r="U6" s="142" t="inlineStr">
        <is>
          <t>Cooked weight; example only.</t>
        </is>
      </c>
      <c r="V6" s="171" t="n">
        <v>46222.41666666666</v>
      </c>
    </row>
    <row r="7">
      <c r="A7" s="142" t="inlineStr">
        <is>
          <t>ING006</t>
        </is>
      </c>
      <c r="B7" s="142" t="inlineStr">
        <is>
          <t>Boiled potato</t>
        </is>
      </c>
      <c r="C7" s="142" t="inlineStr"/>
      <c r="D7" s="142" t="inlineStr"/>
      <c r="E7" s="142" t="inlineStr">
        <is>
          <t>100 g</t>
        </is>
      </c>
      <c r="F7" s="170" t="n">
        <v>100</v>
      </c>
      <c r="G7" s="170" t="inlineStr">
        <is>
          <t>g</t>
        </is>
      </c>
      <c r="H7" s="170" t="inlineStr"/>
      <c r="I7" s="170" t="n">
        <v>87</v>
      </c>
      <c r="J7" s="170" t="n">
        <v>1.9</v>
      </c>
      <c r="K7" s="170" t="n">
        <v>20.1</v>
      </c>
      <c r="L7" s="170" t="n">
        <v>0.1</v>
      </c>
      <c r="M7" s="170" t="n">
        <v>0</v>
      </c>
      <c r="N7" s="170" t="n">
        <v>0</v>
      </c>
      <c r="O7" s="142" t="inlineStr">
        <is>
          <t>["boiled potatoes", "cooked potato", "cooked potatoes"]</t>
        </is>
      </c>
      <c r="P7" s="142" t="inlineStr">
        <is>
          <t>{"each": 170, "medium": 170, "small": 110, "large": 300, "cup": 156}</t>
        </is>
      </c>
      <c r="Q7" s="142" t="inlineStr">
        <is>
          <t>Example cache – verify</t>
        </is>
      </c>
      <c r="R7" s="142" t="inlineStr"/>
      <c r="S7" s="142" t="inlineStr"/>
      <c r="T7" s="142" t="b">
        <v>0</v>
      </c>
      <c r="U7" s="142" t="inlineStr">
        <is>
          <t>Example only.</t>
        </is>
      </c>
      <c r="V7" s="171" t="n">
        <v>46222.41666666666</v>
      </c>
    </row>
    <row r="8">
      <c r="A8" s="142" t="inlineStr">
        <is>
          <t>ING007</t>
        </is>
      </c>
      <c r="B8" s="142" t="inlineStr">
        <is>
          <t>Tuna in water, drained</t>
        </is>
      </c>
      <c r="C8" s="142" t="inlineStr"/>
      <c r="D8" s="142" t="inlineStr"/>
      <c r="E8" s="142" t="inlineStr">
        <is>
          <t>100 g</t>
        </is>
      </c>
      <c r="F8" s="170" t="n">
        <v>100</v>
      </c>
      <c r="G8" s="170" t="inlineStr">
        <is>
          <t>g</t>
        </is>
      </c>
      <c r="H8" s="170" t="inlineStr"/>
      <c r="I8" s="170" t="n">
        <v>116</v>
      </c>
      <c r="J8" s="170" t="n">
        <v>25.5</v>
      </c>
      <c r="K8" s="170" t="n">
        <v>0</v>
      </c>
      <c r="L8" s="170" t="n">
        <v>0.8</v>
      </c>
      <c r="M8" s="170" t="n">
        <v>0</v>
      </c>
      <c r="N8" s="170" t="n">
        <v>0</v>
      </c>
      <c r="O8" s="142" t="inlineStr">
        <is>
          <t>["canned tuna", "tin of tuna", "tuna can"]</t>
        </is>
      </c>
      <c r="P8" s="142" t="inlineStr">
        <is>
          <t>{"can": 112}</t>
        </is>
      </c>
      <c r="Q8" s="142" t="inlineStr">
        <is>
          <t>Example cache – verify</t>
        </is>
      </c>
      <c r="R8" s="142" t="inlineStr"/>
      <c r="S8" s="142" t="inlineStr"/>
      <c r="T8" s="142" t="b">
        <v>0</v>
      </c>
      <c r="U8" s="142" t="inlineStr">
        <is>
          <t>Check the can label.</t>
        </is>
      </c>
      <c r="V8" s="171" t="n">
        <v>46222.41666666666</v>
      </c>
    </row>
    <row r="9">
      <c r="A9" s="142" t="inlineStr">
        <is>
          <t>ING008</t>
        </is>
      </c>
      <c r="B9" s="142" t="inlineStr">
        <is>
          <t>Low-fat cottage cheese</t>
        </is>
      </c>
      <c r="C9" s="142" t="inlineStr"/>
      <c r="D9" s="142" t="inlineStr"/>
      <c r="E9" s="142" t="inlineStr">
        <is>
          <t>100 g</t>
        </is>
      </c>
      <c r="F9" s="170" t="n">
        <v>100</v>
      </c>
      <c r="G9" s="170" t="inlineStr">
        <is>
          <t>g</t>
        </is>
      </c>
      <c r="H9" s="170" t="n">
        <v>1</v>
      </c>
      <c r="I9" s="170" t="n">
        <v>82</v>
      </c>
      <c r="J9" s="170" t="n">
        <v>11.1</v>
      </c>
      <c r="K9" s="170" t="n">
        <v>3.4</v>
      </c>
      <c r="L9" s="170" t="n">
        <v>2.3</v>
      </c>
      <c r="M9" s="170" t="n">
        <v>0</v>
      </c>
      <c r="N9" s="170" t="n">
        <v>0</v>
      </c>
      <c r="O9" s="142" t="inlineStr">
        <is>
          <t>["cottage cheese"]</t>
        </is>
      </c>
      <c r="P9" s="142" t="inlineStr">
        <is>
          <t>{"cup": 226, "tbsp": 14}</t>
        </is>
      </c>
      <c r="Q9" s="142" t="inlineStr">
        <is>
          <t>Example cache – verify</t>
        </is>
      </c>
      <c r="R9" s="142" t="inlineStr"/>
      <c r="S9" s="142" t="inlineStr"/>
      <c r="T9" s="142" t="b">
        <v>0</v>
      </c>
      <c r="U9" s="142" t="inlineStr">
        <is>
          <t>Brands vary.</t>
        </is>
      </c>
      <c r="V9" s="171" t="n">
        <v>46222.41666666666</v>
      </c>
    </row>
    <row r="10">
      <c r="A10" s="142" t="inlineStr">
        <is>
          <t>ING009</t>
        </is>
      </c>
      <c r="B10" s="142" t="inlineStr">
        <is>
          <t>Lean turkey mince</t>
        </is>
      </c>
      <c r="C10" s="142" t="inlineStr"/>
      <c r="D10" s="142" t="inlineStr"/>
      <c r="E10" s="142" t="inlineStr">
        <is>
          <t>100 g</t>
        </is>
      </c>
      <c r="F10" s="170" t="n">
        <v>100</v>
      </c>
      <c r="G10" s="170" t="inlineStr">
        <is>
          <t>g</t>
        </is>
      </c>
      <c r="H10" s="170" t="inlineStr"/>
      <c r="I10" s="170" t="n">
        <v>145</v>
      </c>
      <c r="J10" s="170" t="n">
        <v>21</v>
      </c>
      <c r="K10" s="170" t="n">
        <v>0</v>
      </c>
      <c r="L10" s="170" t="n">
        <v>6</v>
      </c>
      <c r="M10" s="170" t="n">
        <v>0</v>
      </c>
      <c r="N10" s="170" t="n">
        <v>0</v>
      </c>
      <c r="O10" s="142" t="inlineStr">
        <is>
          <t>[]</t>
        </is>
      </c>
      <c r="P10" s="142" t="inlineStr">
        <is>
          <t>{}</t>
        </is>
      </c>
      <c r="Q10" s="142" t="inlineStr">
        <is>
          <t>Example cache – verify</t>
        </is>
      </c>
      <c r="R10" s="142" t="inlineStr"/>
      <c r="S10" s="142" t="inlineStr"/>
      <c r="T10" s="142" t="b">
        <v>0</v>
      </c>
      <c r="U10" s="142" t="inlineStr">
        <is>
          <t>Use your package values.</t>
        </is>
      </c>
      <c r="V10" s="171" t="n">
        <v>46222.41666666666</v>
      </c>
    </row>
    <row r="11">
      <c r="A11" s="142" t="inlineStr">
        <is>
          <t>ING010</t>
        </is>
      </c>
      <c r="B11" s="142" t="inlineStr">
        <is>
          <t>Courgette</t>
        </is>
      </c>
      <c r="C11" s="142" t="inlineStr"/>
      <c r="D11" s="142" t="inlineStr"/>
      <c r="E11" s="142" t="inlineStr">
        <is>
          <t>100 g</t>
        </is>
      </c>
      <c r="F11" s="170" t="n">
        <v>100</v>
      </c>
      <c r="G11" s="170" t="inlineStr">
        <is>
          <t>g</t>
        </is>
      </c>
      <c r="H11" s="170" t="inlineStr"/>
      <c r="I11" s="170" t="n">
        <v>17</v>
      </c>
      <c r="J11" s="170" t="n">
        <v>1.2</v>
      </c>
      <c r="K11" s="170" t="n">
        <v>3.1</v>
      </c>
      <c r="L11" s="170" t="n">
        <v>0.3</v>
      </c>
      <c r="M11" s="170" t="n">
        <v>0</v>
      </c>
      <c r="N11" s="170" t="n">
        <v>0</v>
      </c>
      <c r="O11" s="142" t="inlineStr">
        <is>
          <t>["zucchini", "courgettes", "zucchinis"]</t>
        </is>
      </c>
      <c r="P11" s="142" t="inlineStr">
        <is>
          <t>{"each": 196, "medium": 196, "small": 118, "large": 323, "cup": 124}</t>
        </is>
      </c>
      <c r="Q11" s="142" t="inlineStr">
        <is>
          <t>Example cache – verify</t>
        </is>
      </c>
      <c r="R11" s="142" t="inlineStr"/>
      <c r="S11" s="142" t="inlineStr"/>
      <c r="T11" s="142" t="b">
        <v>0</v>
      </c>
      <c r="U11" s="142" t="inlineStr">
        <is>
          <t>Example only.</t>
        </is>
      </c>
      <c r="V11" s="171" t="n">
        <v>46222.41666666666</v>
      </c>
    </row>
    <row r="12">
      <c r="A12" s="142" t="inlineStr">
        <is>
          <t>ING011</t>
        </is>
      </c>
      <c r="B12" s="142" t="inlineStr">
        <is>
          <t>Chicken breast, raw</t>
        </is>
      </c>
      <c r="C12" s="142" t="inlineStr"/>
      <c r="D12" s="142" t="inlineStr">
        <is>
          <t>raw</t>
        </is>
      </c>
      <c r="E12" s="142" t="inlineStr">
        <is>
          <t>100 g</t>
        </is>
      </c>
      <c r="F12" s="170" t="n">
        <v>100</v>
      </c>
      <c r="G12" s="170" t="inlineStr">
        <is>
          <t>g</t>
        </is>
      </c>
      <c r="H12" s="170" t="inlineStr"/>
      <c r="I12" s="170" t="n">
        <v>120</v>
      </c>
      <c r="J12" s="170" t="n">
        <v>22.5</v>
      </c>
      <c r="K12" s="170" t="n">
        <v>0</v>
      </c>
      <c r="L12" s="170" t="n">
        <v>2.6</v>
      </c>
      <c r="M12" s="170" t="n">
        <v>0</v>
      </c>
      <c r="N12" s="170" t="n">
        <v>45</v>
      </c>
      <c r="O12" s="142" t="inlineStr">
        <is>
          <t>["raw chicken breast", "chicken fillet", "chicken breast fillet", "chicken breasts"]</t>
        </is>
      </c>
      <c r="P12" s="142" t="inlineStr">
        <is>
          <t>{"each": 174, "breast": 174}</t>
        </is>
      </c>
      <c r="Q12" s="142" t="inlineStr">
        <is>
          <t>Generic reference – verify</t>
        </is>
      </c>
      <c r="R12" s="142" t="inlineStr"/>
      <c r="S12" s="142" t="inlineStr"/>
      <c r="T12" s="142" t="b">
        <v>0</v>
      </c>
      <c r="U12" s="142" t="inlineStr">
        <is>
          <t>Starting reference value. Confirm against a package label or reference record before relying on it.</t>
        </is>
      </c>
      <c r="V12" s="171" t="n">
        <v>46222.87152777778</v>
      </c>
    </row>
    <row r="13">
      <c r="A13" s="142" t="inlineStr">
        <is>
          <t>ING012</t>
        </is>
      </c>
      <c r="B13" s="142" t="inlineStr">
        <is>
          <t>Olive oil</t>
        </is>
      </c>
      <c r="C13" s="142" t="inlineStr"/>
      <c r="D13" s="142" t="inlineStr"/>
      <c r="E13" s="142" t="inlineStr">
        <is>
          <t>100 g</t>
        </is>
      </c>
      <c r="F13" s="170" t="n">
        <v>100</v>
      </c>
      <c r="G13" s="170" t="inlineStr">
        <is>
          <t>g</t>
        </is>
      </c>
      <c r="H13" s="170" t="n">
        <v>0.91</v>
      </c>
      <c r="I13" s="170" t="n">
        <v>884</v>
      </c>
      <c r="J13" s="170" t="n">
        <v>0</v>
      </c>
      <c r="K13" s="170" t="n">
        <v>0</v>
      </c>
      <c r="L13" s="170" t="n">
        <v>100</v>
      </c>
      <c r="M13" s="170" t="n">
        <v>0</v>
      </c>
      <c r="N13" s="170" t="n">
        <v>0</v>
      </c>
      <c r="O13" s="142" t="inlineStr">
        <is>
          <t>["extra virgin olive oil", "evoo", "EVOO", "oil"]</t>
        </is>
      </c>
      <c r="P13" s="142" t="inlineStr">
        <is>
          <t>{"tbsp": 13.5, "tsp": 4.5, "cup": 216}</t>
        </is>
      </c>
      <c r="Q13" s="142" t="inlineStr">
        <is>
          <t>Generic reference – verify</t>
        </is>
      </c>
      <c r="R13" s="142" t="inlineStr"/>
      <c r="S13" s="142" t="inlineStr"/>
      <c r="T13" s="142" t="b">
        <v>0</v>
      </c>
      <c r="U13" s="142" t="inlineStr">
        <is>
          <t>Starting reference value. Confirm against a package label or reference record before relying on it.</t>
        </is>
      </c>
      <c r="V13" s="171" t="n">
        <v>46222.87152777778</v>
      </c>
    </row>
    <row r="14">
      <c r="A14" s="142" t="inlineStr">
        <is>
          <t>ING013</t>
        </is>
      </c>
      <c r="B14" s="142" t="inlineStr">
        <is>
          <t>Onion, raw</t>
        </is>
      </c>
      <c r="C14" s="142" t="inlineStr"/>
      <c r="D14" s="142" t="inlineStr">
        <is>
          <t>raw</t>
        </is>
      </c>
      <c r="E14" s="142" t="inlineStr">
        <is>
          <t>100 g</t>
        </is>
      </c>
      <c r="F14" s="170" t="n">
        <v>100</v>
      </c>
      <c r="G14" s="170" t="inlineStr">
        <is>
          <t>g</t>
        </is>
      </c>
      <c r="H14" s="170" t="inlineStr"/>
      <c r="I14" s="170" t="n">
        <v>40</v>
      </c>
      <c r="J14" s="170" t="n">
        <v>1.1</v>
      </c>
      <c r="K14" s="170" t="n">
        <v>9.300000000000001</v>
      </c>
      <c r="L14" s="170" t="n">
        <v>0.1</v>
      </c>
      <c r="M14" s="170" t="n">
        <v>1.7</v>
      </c>
      <c r="N14" s="170" t="n">
        <v>4</v>
      </c>
      <c r="O14" s="142" t="inlineStr">
        <is>
          <t>["onion", "yellow onion", "white onion", "red onion", "onions", "red onions", "white onions", "yellow onions", "brown onion", "brown onions"]</t>
        </is>
      </c>
      <c r="P14" s="142" t="inlineStr">
        <is>
          <t>{"each": 150, "medium": 150, "small": 90, "large": 220, "cup": 160}</t>
        </is>
      </c>
      <c r="Q14" s="142" t="inlineStr">
        <is>
          <t>Generic reference – verify</t>
        </is>
      </c>
      <c r="R14" s="142" t="inlineStr"/>
      <c r="S14" s="142" t="inlineStr"/>
      <c r="T14" s="142" t="b">
        <v>0</v>
      </c>
      <c r="U14" s="142" t="inlineStr">
        <is>
          <t>Starting reference value. Confirm against a package label or reference record before relying on it.</t>
        </is>
      </c>
      <c r="V14" s="171" t="n">
        <v>46222.87152777778</v>
      </c>
    </row>
    <row r="15">
      <c r="A15" s="142" t="inlineStr">
        <is>
          <t>ING014</t>
        </is>
      </c>
      <c r="B15" s="142" t="inlineStr">
        <is>
          <t>Garlic, raw</t>
        </is>
      </c>
      <c r="C15" s="142" t="inlineStr"/>
      <c r="D15" s="142" t="inlineStr">
        <is>
          <t>raw</t>
        </is>
      </c>
      <c r="E15" s="142" t="inlineStr">
        <is>
          <t>100 g</t>
        </is>
      </c>
      <c r="F15" s="170" t="n">
        <v>100</v>
      </c>
      <c r="G15" s="170" t="inlineStr">
        <is>
          <t>g</t>
        </is>
      </c>
      <c r="H15" s="170" t="inlineStr"/>
      <c r="I15" s="170" t="n">
        <v>149</v>
      </c>
      <c r="J15" s="170" t="n">
        <v>6.4</v>
      </c>
      <c r="K15" s="170" t="n">
        <v>33.1</v>
      </c>
      <c r="L15" s="170" t="n">
        <v>0.5</v>
      </c>
      <c r="M15" s="170" t="n">
        <v>2.1</v>
      </c>
      <c r="N15" s="170" t="n">
        <v>17</v>
      </c>
      <c r="O15" s="142" t="inlineStr">
        <is>
          <t>["garlic", "garlic clove", "clove of garlic", "garlic cloves", "head of garlic"]</t>
        </is>
      </c>
      <c r="P15" s="142" t="inlineStr">
        <is>
          <t>{"clove": 3, "tsp": 2.8, "each": 3, "head": 50}</t>
        </is>
      </c>
      <c r="Q15" s="142" t="inlineStr">
        <is>
          <t>Generic reference – verify</t>
        </is>
      </c>
      <c r="R15" s="142" t="inlineStr"/>
      <c r="S15" s="142" t="inlineStr"/>
      <c r="T15" s="142" t="b">
        <v>0</v>
      </c>
      <c r="U15" s="142" t="inlineStr">
        <is>
          <t>Starting reference value. Confirm against a package label or reference record before relying on it.</t>
        </is>
      </c>
      <c r="V15" s="171" t="n">
        <v>46222.87152777778</v>
      </c>
    </row>
    <row r="16">
      <c r="A16" s="142" t="inlineStr">
        <is>
          <t>ING015</t>
        </is>
      </c>
      <c r="B16" s="142" t="inlineStr">
        <is>
          <t>Chopped tomatoes, canned</t>
        </is>
      </c>
      <c r="C16" s="142" t="inlineStr"/>
      <c r="D16" s="142" t="inlineStr">
        <is>
          <t>canned</t>
        </is>
      </c>
      <c r="E16" s="142" t="inlineStr">
        <is>
          <t>100 g</t>
        </is>
      </c>
      <c r="F16" s="170" t="n">
        <v>100</v>
      </c>
      <c r="G16" s="170" t="inlineStr">
        <is>
          <t>g</t>
        </is>
      </c>
      <c r="H16" s="170" t="inlineStr"/>
      <c r="I16" s="170" t="n">
        <v>24</v>
      </c>
      <c r="J16" s="170" t="n">
        <v>1.2</v>
      </c>
      <c r="K16" s="170" t="n">
        <v>4</v>
      </c>
      <c r="L16" s="170" t="n">
        <v>0.2</v>
      </c>
      <c r="M16" s="170" t="n">
        <v>1.2</v>
      </c>
      <c r="N16" s="170" t="n">
        <v>120</v>
      </c>
      <c r="O16" s="142" t="inlineStr">
        <is>
          <t>["canned tomatoes", "tinned tomatoes", "chopped tomato"]</t>
        </is>
      </c>
      <c r="P16" s="142" t="inlineStr">
        <is>
          <t>{"can": 400}</t>
        </is>
      </c>
      <c r="Q16" s="142" t="inlineStr">
        <is>
          <t>Generic reference – verify</t>
        </is>
      </c>
      <c r="R16" s="142" t="inlineStr"/>
      <c r="S16" s="142" t="inlineStr"/>
      <c r="T16" s="142" t="b">
        <v>0</v>
      </c>
      <c r="U16" s="142" t="inlineStr">
        <is>
          <t>Starting reference value. Confirm against a package label or reference record before relying on it.</t>
        </is>
      </c>
      <c r="V16" s="171" t="n">
        <v>46222.87152777778</v>
      </c>
    </row>
    <row r="17">
      <c r="A17" s="142" t="inlineStr">
        <is>
          <t>ING016</t>
        </is>
      </c>
      <c r="B17" s="142" t="inlineStr">
        <is>
          <t>Tomato passata</t>
        </is>
      </c>
      <c r="C17" s="142" t="inlineStr"/>
      <c r="D17" s="142" t="inlineStr"/>
      <c r="E17" s="142" t="inlineStr">
        <is>
          <t>100 g</t>
        </is>
      </c>
      <c r="F17" s="170" t="n">
        <v>100</v>
      </c>
      <c r="G17" s="170" t="inlineStr">
        <is>
          <t>g</t>
        </is>
      </c>
      <c r="H17" s="170" t="inlineStr"/>
      <c r="I17" s="170" t="n">
        <v>29</v>
      </c>
      <c r="J17" s="170" t="n">
        <v>1.4</v>
      </c>
      <c r="K17" s="170" t="n">
        <v>4.8</v>
      </c>
      <c r="L17" s="170" t="n">
        <v>0.2</v>
      </c>
      <c r="M17" s="170" t="n">
        <v>1.5</v>
      </c>
      <c r="N17" s="170" t="n">
        <v>210</v>
      </c>
      <c r="O17" s="142" t="inlineStr">
        <is>
          <t>["passata", "tomato puree sauce"]</t>
        </is>
      </c>
      <c r="P17" s="142" t="inlineStr">
        <is>
          <t>{"cup": 245, "tbsp": 15}</t>
        </is>
      </c>
      <c r="Q17" s="142" t="inlineStr">
        <is>
          <t>Generic reference – verify</t>
        </is>
      </c>
      <c r="R17" s="142" t="inlineStr"/>
      <c r="S17" s="142" t="inlineStr"/>
      <c r="T17" s="142" t="b">
        <v>0</v>
      </c>
      <c r="U17" s="142" t="inlineStr">
        <is>
          <t>Starting reference value. Confirm against a package label or reference record before relying on it.</t>
        </is>
      </c>
      <c r="V17" s="171" t="n">
        <v>46222.87152777778</v>
      </c>
    </row>
    <row r="18">
      <c r="A18" s="142" t="inlineStr">
        <is>
          <t>ING017</t>
        </is>
      </c>
      <c r="B18" s="142" t="inlineStr">
        <is>
          <t>Spinach, raw</t>
        </is>
      </c>
      <c r="C18" s="142" t="inlineStr"/>
      <c r="D18" s="142" t="inlineStr">
        <is>
          <t>raw</t>
        </is>
      </c>
      <c r="E18" s="142" t="inlineStr">
        <is>
          <t>100 g</t>
        </is>
      </c>
      <c r="F18" s="170" t="n">
        <v>100</v>
      </c>
      <c r="G18" s="170" t="inlineStr">
        <is>
          <t>g</t>
        </is>
      </c>
      <c r="H18" s="170" t="inlineStr"/>
      <c r="I18" s="170" t="n">
        <v>23</v>
      </c>
      <c r="J18" s="170" t="n">
        <v>2.9</v>
      </c>
      <c r="K18" s="170" t="n">
        <v>3.6</v>
      </c>
      <c r="L18" s="170" t="n">
        <v>0.4</v>
      </c>
      <c r="M18" s="170" t="n">
        <v>2.2</v>
      </c>
      <c r="N18" s="170" t="n">
        <v>79</v>
      </c>
      <c r="O18" s="142" t="inlineStr">
        <is>
          <t>["spinach", "baby spinach", "spinach leaves"]</t>
        </is>
      </c>
      <c r="P18" s="142" t="inlineStr">
        <is>
          <t>{"cup": 30, "handful": 30}</t>
        </is>
      </c>
      <c r="Q18" s="142" t="inlineStr">
        <is>
          <t>Generic reference – verify</t>
        </is>
      </c>
      <c r="R18" s="142" t="inlineStr"/>
      <c r="S18" s="142" t="inlineStr"/>
      <c r="T18" s="142" t="b">
        <v>0</v>
      </c>
      <c r="U18" s="142" t="inlineStr">
        <is>
          <t>Starting reference value. Confirm against a package label or reference record before relying on it.</t>
        </is>
      </c>
      <c r="V18" s="171" t="n">
        <v>46222.87152777778</v>
      </c>
    </row>
    <row r="19">
      <c r="A19" s="142" t="inlineStr">
        <is>
          <t>ING018</t>
        </is>
      </c>
      <c r="B19" s="142" t="inlineStr">
        <is>
          <t>Broccoli, raw</t>
        </is>
      </c>
      <c r="C19" s="142" t="inlineStr"/>
      <c r="D19" s="142" t="inlineStr">
        <is>
          <t>raw</t>
        </is>
      </c>
      <c r="E19" s="142" t="inlineStr">
        <is>
          <t>100 g</t>
        </is>
      </c>
      <c r="F19" s="170" t="n">
        <v>100</v>
      </c>
      <c r="G19" s="170" t="inlineStr">
        <is>
          <t>g</t>
        </is>
      </c>
      <c r="H19" s="170" t="inlineStr"/>
      <c r="I19" s="170" t="n">
        <v>34</v>
      </c>
      <c r="J19" s="170" t="n">
        <v>2.8</v>
      </c>
      <c r="K19" s="170" t="n">
        <v>6.6</v>
      </c>
      <c r="L19" s="170" t="n">
        <v>0.4</v>
      </c>
      <c r="M19" s="170" t="n">
        <v>2.6</v>
      </c>
      <c r="N19" s="170" t="n">
        <v>33</v>
      </c>
      <c r="O19" s="142" t="inlineStr">
        <is>
          <t>["broccoli", "broccoli florets", "broccoli head"]</t>
        </is>
      </c>
      <c r="P19" s="142" t="inlineStr">
        <is>
          <t>{"cup": 91, "head": 608}</t>
        </is>
      </c>
      <c r="Q19" s="142" t="inlineStr">
        <is>
          <t>Generic reference – verify</t>
        </is>
      </c>
      <c r="R19" s="142" t="inlineStr"/>
      <c r="S19" s="142" t="inlineStr"/>
      <c r="T19" s="142" t="b">
        <v>0</v>
      </c>
      <c r="U19" s="142" t="inlineStr">
        <is>
          <t>Starting reference value. Confirm against a package label or reference record before relying on it.</t>
        </is>
      </c>
      <c r="V19" s="171" t="n">
        <v>46222.87152777778</v>
      </c>
    </row>
    <row r="20">
      <c r="A20" s="142" t="inlineStr">
        <is>
          <t>ING019</t>
        </is>
      </c>
      <c r="B20" s="142" t="inlineStr">
        <is>
          <t>Carrot, raw</t>
        </is>
      </c>
      <c r="C20" s="142" t="inlineStr"/>
      <c r="D20" s="142" t="inlineStr">
        <is>
          <t>raw</t>
        </is>
      </c>
      <c r="E20" s="142" t="inlineStr">
        <is>
          <t>100 g</t>
        </is>
      </c>
      <c r="F20" s="170" t="n">
        <v>100</v>
      </c>
      <c r="G20" s="170" t="inlineStr">
        <is>
          <t>g</t>
        </is>
      </c>
      <c r="H20" s="170" t="inlineStr"/>
      <c r="I20" s="170" t="n">
        <v>41</v>
      </c>
      <c r="J20" s="170" t="n">
        <v>0.9</v>
      </c>
      <c r="K20" s="170" t="n">
        <v>9.6</v>
      </c>
      <c r="L20" s="170" t="n">
        <v>0.2</v>
      </c>
      <c r="M20" s="170" t="n">
        <v>2.8</v>
      </c>
      <c r="N20" s="170" t="n">
        <v>69</v>
      </c>
      <c r="O20" s="142" t="inlineStr">
        <is>
          <t>["carrot", "carrots"]</t>
        </is>
      </c>
      <c r="P20" s="142" t="inlineStr">
        <is>
          <t>{"each": 61, "medium": 61, "cup": 128}</t>
        </is>
      </c>
      <c r="Q20" s="142" t="inlineStr">
        <is>
          <t>Generic reference – verify</t>
        </is>
      </c>
      <c r="R20" s="142" t="inlineStr"/>
      <c r="S20" s="142" t="inlineStr"/>
      <c r="T20" s="142" t="b">
        <v>0</v>
      </c>
      <c r="U20" s="142" t="inlineStr">
        <is>
          <t>Starting reference value. Confirm against a package label or reference record before relying on it.</t>
        </is>
      </c>
      <c r="V20" s="171" t="n">
        <v>46222.87152777778</v>
      </c>
    </row>
    <row r="21">
      <c r="A21" s="142" t="inlineStr">
        <is>
          <t>ING020</t>
        </is>
      </c>
      <c r="B21" s="142" t="inlineStr">
        <is>
          <t>Mushrooms, raw</t>
        </is>
      </c>
      <c r="C21" s="142" t="inlineStr"/>
      <c r="D21" s="142" t="inlineStr">
        <is>
          <t>raw</t>
        </is>
      </c>
      <c r="E21" s="142" t="inlineStr">
        <is>
          <t>100 g</t>
        </is>
      </c>
      <c r="F21" s="170" t="n">
        <v>100</v>
      </c>
      <c r="G21" s="170" t="inlineStr">
        <is>
          <t>g</t>
        </is>
      </c>
      <c r="H21" s="170" t="inlineStr"/>
      <c r="I21" s="170" t="n">
        <v>22</v>
      </c>
      <c r="J21" s="170" t="n">
        <v>3.1</v>
      </c>
      <c r="K21" s="170" t="n">
        <v>3.3</v>
      </c>
      <c r="L21" s="170" t="n">
        <v>0.3</v>
      </c>
      <c r="M21" s="170" t="n">
        <v>1</v>
      </c>
      <c r="N21" s="170" t="n">
        <v>5</v>
      </c>
      <c r="O21" s="142" t="inlineStr">
        <is>
          <t>["mushroom", "mushrooms", "button mushrooms"]</t>
        </is>
      </c>
      <c r="P21" s="142" t="inlineStr">
        <is>
          <t>{"cup": 70, "each": 18, "medium": 18}</t>
        </is>
      </c>
      <c r="Q21" s="142" t="inlineStr">
        <is>
          <t>Generic reference – verify</t>
        </is>
      </c>
      <c r="R21" s="142" t="inlineStr"/>
      <c r="S21" s="142" t="inlineStr"/>
      <c r="T21" s="142" t="b">
        <v>0</v>
      </c>
      <c r="U21" s="142" t="inlineStr">
        <is>
          <t>Starting reference value. Confirm against a package label or reference record before relying on it.</t>
        </is>
      </c>
      <c r="V21" s="171" t="n">
        <v>46222.87152777778</v>
      </c>
    </row>
    <row r="22">
      <c r="A22" s="142" t="inlineStr">
        <is>
          <t>ING021</t>
        </is>
      </c>
      <c r="B22" s="142" t="inlineStr">
        <is>
          <t>Rolled oats, dry</t>
        </is>
      </c>
      <c r="C22" s="142" t="inlineStr"/>
      <c r="D22" s="142" t="inlineStr">
        <is>
          <t>dry</t>
        </is>
      </c>
      <c r="E22" s="142" t="inlineStr">
        <is>
          <t>100 g</t>
        </is>
      </c>
      <c r="F22" s="170" t="n">
        <v>100</v>
      </c>
      <c r="G22" s="170" t="inlineStr">
        <is>
          <t>g</t>
        </is>
      </c>
      <c r="H22" s="170" t="inlineStr"/>
      <c r="I22" s="170" t="n">
        <v>379</v>
      </c>
      <c r="J22" s="170" t="n">
        <v>13.2</v>
      </c>
      <c r="K22" s="170" t="n">
        <v>67.7</v>
      </c>
      <c r="L22" s="170" t="n">
        <v>6.5</v>
      </c>
      <c r="M22" s="170" t="n">
        <v>10.1</v>
      </c>
      <c r="N22" s="170" t="n">
        <v>6</v>
      </c>
      <c r="O22" s="142" t="inlineStr">
        <is>
          <t>["oats", "rolled oats", "porridge oats"]</t>
        </is>
      </c>
      <c r="P22" s="142" t="inlineStr">
        <is>
          <t>{"cup": 80, "tbsp": 5}</t>
        </is>
      </c>
      <c r="Q22" s="142" t="inlineStr">
        <is>
          <t>Generic reference – verify</t>
        </is>
      </c>
      <c r="R22" s="142" t="inlineStr"/>
      <c r="S22" s="142" t="inlineStr"/>
      <c r="T22" s="142" t="b">
        <v>0</v>
      </c>
      <c r="U22" s="142" t="inlineStr">
        <is>
          <t>Starting reference value. Confirm against a package label or reference record before relying on it.</t>
        </is>
      </c>
      <c r="V22" s="171" t="n">
        <v>46222.87152777778</v>
      </c>
    </row>
    <row r="23">
      <c r="A23" s="142" t="inlineStr">
        <is>
          <t>ING022</t>
        </is>
      </c>
      <c r="B23" s="142" t="inlineStr">
        <is>
          <t>Basmati rice, dry</t>
        </is>
      </c>
      <c r="C23" s="142" t="inlineStr"/>
      <c r="D23" s="142" t="inlineStr">
        <is>
          <t>dry</t>
        </is>
      </c>
      <c r="E23" s="142" t="inlineStr">
        <is>
          <t>100 g</t>
        </is>
      </c>
      <c r="F23" s="170" t="n">
        <v>100</v>
      </c>
      <c r="G23" s="170" t="inlineStr">
        <is>
          <t>g</t>
        </is>
      </c>
      <c r="H23" s="170" t="inlineStr"/>
      <c r="I23" s="170" t="n">
        <v>356</v>
      </c>
      <c r="J23" s="170" t="n">
        <v>8.9</v>
      </c>
      <c r="K23" s="170" t="n">
        <v>78.59999999999999</v>
      </c>
      <c r="L23" s="170" t="n">
        <v>0.9</v>
      </c>
      <c r="M23" s="170" t="n">
        <v>1</v>
      </c>
      <c r="N23" s="170" t="n">
        <v>5</v>
      </c>
      <c r="O23" s="142" t="inlineStr">
        <is>
          <t>["basmati rice", "white rice dry", "uncooked rice"]</t>
        </is>
      </c>
      <c r="P23" s="142" t="inlineStr">
        <is>
          <t>{"cup": 185}</t>
        </is>
      </c>
      <c r="Q23" s="142" t="inlineStr">
        <is>
          <t>Generic reference – verify</t>
        </is>
      </c>
      <c r="R23" s="142" t="inlineStr"/>
      <c r="S23" s="142" t="inlineStr"/>
      <c r="T23" s="142" t="b">
        <v>0</v>
      </c>
      <c r="U23" s="142" t="inlineStr">
        <is>
          <t>Starting reference value. Confirm against a package label or reference record before relying on it.</t>
        </is>
      </c>
      <c r="V23" s="171" t="n">
        <v>46222.87152777778</v>
      </c>
    </row>
    <row r="24">
      <c r="A24" s="142" t="inlineStr">
        <is>
          <t>ING023</t>
        </is>
      </c>
      <c r="B24" s="142" t="inlineStr">
        <is>
          <t>Pasta, dry</t>
        </is>
      </c>
      <c r="C24" s="142" t="inlineStr"/>
      <c r="D24" s="142" t="inlineStr">
        <is>
          <t>dry</t>
        </is>
      </c>
      <c r="E24" s="142" t="inlineStr">
        <is>
          <t>100 g</t>
        </is>
      </c>
      <c r="F24" s="170" t="n">
        <v>100</v>
      </c>
      <c r="G24" s="170" t="inlineStr">
        <is>
          <t>g</t>
        </is>
      </c>
      <c r="H24" s="170" t="inlineStr"/>
      <c r="I24" s="170" t="n">
        <v>371</v>
      </c>
      <c r="J24" s="170" t="n">
        <v>13</v>
      </c>
      <c r="K24" s="170" t="n">
        <v>74.7</v>
      </c>
      <c r="L24" s="170" t="n">
        <v>1.5</v>
      </c>
      <c r="M24" s="170" t="n">
        <v>3.2</v>
      </c>
      <c r="N24" s="170" t="n">
        <v>6</v>
      </c>
      <c r="O24" s="142" t="inlineStr">
        <is>
          <t>["dry pasta", "uncooked pasta", "spaghetti dry"]</t>
        </is>
      </c>
      <c r="P24" s="142" t="inlineStr">
        <is>
          <t>{"cup": 100}</t>
        </is>
      </c>
      <c r="Q24" s="142" t="inlineStr">
        <is>
          <t>Generic reference – verify</t>
        </is>
      </c>
      <c r="R24" s="142" t="inlineStr"/>
      <c r="S24" s="142" t="inlineStr"/>
      <c r="T24" s="142" t="b">
        <v>0</v>
      </c>
      <c r="U24" s="142" t="inlineStr">
        <is>
          <t>Starting reference value. Confirm against a package label or reference record before relying on it.</t>
        </is>
      </c>
      <c r="V24" s="171" t="n">
        <v>46222.87152777778</v>
      </c>
    </row>
    <row r="25">
      <c r="A25" s="142" t="inlineStr">
        <is>
          <t>ING024</t>
        </is>
      </c>
      <c r="B25" s="142" t="inlineStr">
        <is>
          <t>Pasta, cooked</t>
        </is>
      </c>
      <c r="C25" s="142" t="inlineStr"/>
      <c r="D25" s="142" t="inlineStr">
        <is>
          <t>cooked</t>
        </is>
      </c>
      <c r="E25" s="142" t="inlineStr">
        <is>
          <t>100 g</t>
        </is>
      </c>
      <c r="F25" s="170" t="n">
        <v>100</v>
      </c>
      <c r="G25" s="170" t="inlineStr">
        <is>
          <t>g</t>
        </is>
      </c>
      <c r="H25" s="170" t="inlineStr"/>
      <c r="I25" s="170" t="n">
        <v>158</v>
      </c>
      <c r="J25" s="170" t="n">
        <v>5.8</v>
      </c>
      <c r="K25" s="170" t="n">
        <v>30.9</v>
      </c>
      <c r="L25" s="170" t="n">
        <v>0.9</v>
      </c>
      <c r="M25" s="170" t="n">
        <v>1.8</v>
      </c>
      <c r="N25" s="170" t="n">
        <v>1</v>
      </c>
      <c r="O25" s="142" t="inlineStr">
        <is>
          <t>["cooked pasta", "boiled pasta"]</t>
        </is>
      </c>
      <c r="P25" s="142" t="inlineStr">
        <is>
          <t>{"cup": 140}</t>
        </is>
      </c>
      <c r="Q25" s="142" t="inlineStr">
        <is>
          <t>Generic reference – verify</t>
        </is>
      </c>
      <c r="R25" s="142" t="inlineStr"/>
      <c r="S25" s="142" t="inlineStr"/>
      <c r="T25" s="142" t="b">
        <v>0</v>
      </c>
      <c r="U25" s="142" t="inlineStr">
        <is>
          <t>Starting reference value. Confirm against a package label or reference record before relying on it.</t>
        </is>
      </c>
      <c r="V25" s="171" t="n">
        <v>46222.87152777778</v>
      </c>
    </row>
    <row r="26">
      <c r="A26" s="142" t="inlineStr">
        <is>
          <t>ING025</t>
        </is>
      </c>
      <c r="B26" s="142" t="inlineStr">
        <is>
          <t>Lean beef mince, 5% fat</t>
        </is>
      </c>
      <c r="C26" s="142" t="inlineStr"/>
      <c r="D26" s="142" t="inlineStr">
        <is>
          <t>raw</t>
        </is>
      </c>
      <c r="E26" s="142" t="inlineStr">
        <is>
          <t>100 g</t>
        </is>
      </c>
      <c r="F26" s="170" t="n">
        <v>100</v>
      </c>
      <c r="G26" s="170" t="inlineStr">
        <is>
          <t>g</t>
        </is>
      </c>
      <c r="H26" s="170" t="inlineStr"/>
      <c r="I26" s="170" t="n">
        <v>137</v>
      </c>
      <c r="J26" s="170" t="n">
        <v>21.4</v>
      </c>
      <c r="K26" s="170" t="n">
        <v>0</v>
      </c>
      <c r="L26" s="170" t="n">
        <v>5</v>
      </c>
      <c r="M26" s="170" t="n">
        <v>0</v>
      </c>
      <c r="N26" s="170" t="n">
        <v>66</v>
      </c>
      <c r="O26" s="142" t="inlineStr">
        <is>
          <t>["lean beef mince", "ground beef 5%", "minced beef", "ground beef", "beef mince"]</t>
        </is>
      </c>
      <c r="P26" s="142" t="inlineStr">
        <is>
          <t>{}</t>
        </is>
      </c>
      <c r="Q26" s="142" t="inlineStr">
        <is>
          <t>Generic reference – verify</t>
        </is>
      </c>
      <c r="R26" s="142" t="inlineStr"/>
      <c r="S26" s="142" t="inlineStr"/>
      <c r="T26" s="142" t="b">
        <v>0</v>
      </c>
      <c r="U26" s="142" t="inlineStr">
        <is>
          <t>Starting reference value. Confirm against a package label or reference record before relying on it.</t>
        </is>
      </c>
      <c r="V26" s="171" t="n">
        <v>46222.87152777778</v>
      </c>
    </row>
    <row r="27">
      <c r="A27" s="142" t="inlineStr">
        <is>
          <t>ING026</t>
        </is>
      </c>
      <c r="B27" s="142" t="inlineStr">
        <is>
          <t>Salmon fillet, raw</t>
        </is>
      </c>
      <c r="C27" s="142" t="inlineStr"/>
      <c r="D27" s="142" t="inlineStr">
        <is>
          <t>raw</t>
        </is>
      </c>
      <c r="E27" s="142" t="inlineStr">
        <is>
          <t>100 g</t>
        </is>
      </c>
      <c r="F27" s="170" t="n">
        <v>100</v>
      </c>
      <c r="G27" s="170" t="inlineStr">
        <is>
          <t>g</t>
        </is>
      </c>
      <c r="H27" s="170" t="inlineStr"/>
      <c r="I27" s="170" t="n">
        <v>208</v>
      </c>
      <c r="J27" s="170" t="n">
        <v>20</v>
      </c>
      <c r="K27" s="170" t="n">
        <v>0</v>
      </c>
      <c r="L27" s="170" t="n">
        <v>13</v>
      </c>
      <c r="M27" s="170" t="n">
        <v>0</v>
      </c>
      <c r="N27" s="170" t="n">
        <v>59</v>
      </c>
      <c r="O27" s="142" t="inlineStr">
        <is>
          <t>["salmon", "salmon fillet", "salmon fillets"]</t>
        </is>
      </c>
      <c r="P27" s="142" t="inlineStr">
        <is>
          <t>{"fillet": 170, "each": 170}</t>
        </is>
      </c>
      <c r="Q27" s="142" t="inlineStr">
        <is>
          <t>Generic reference – verify</t>
        </is>
      </c>
      <c r="R27" s="142" t="inlineStr"/>
      <c r="S27" s="142" t="inlineStr"/>
      <c r="T27" s="142" t="b">
        <v>0</v>
      </c>
      <c r="U27" s="142" t="inlineStr">
        <is>
          <t>Starting reference value. Confirm against a package label or reference record before relying on it.</t>
        </is>
      </c>
      <c r="V27" s="171" t="n">
        <v>46222.87152777778</v>
      </c>
    </row>
    <row r="28">
      <c r="A28" s="142" t="inlineStr">
        <is>
          <t>ING027</t>
        </is>
      </c>
      <c r="B28" s="142" t="inlineStr">
        <is>
          <t>Whole egg, raw</t>
        </is>
      </c>
      <c r="C28" s="142" t="inlineStr"/>
      <c r="D28" s="142" t="inlineStr">
        <is>
          <t>raw</t>
        </is>
      </c>
      <c r="E28" s="142" t="inlineStr">
        <is>
          <t>100 g</t>
        </is>
      </c>
      <c r="F28" s="170" t="n">
        <v>100</v>
      </c>
      <c r="G28" s="170" t="inlineStr">
        <is>
          <t>g</t>
        </is>
      </c>
      <c r="H28" s="170" t="inlineStr"/>
      <c r="I28" s="170" t="n">
        <v>143</v>
      </c>
      <c r="J28" s="170" t="n">
        <v>12.6</v>
      </c>
      <c r="K28" s="170" t="n">
        <v>0.7</v>
      </c>
      <c r="L28" s="170" t="n">
        <v>9.5</v>
      </c>
      <c r="M28" s="170" t="n">
        <v>0</v>
      </c>
      <c r="N28" s="170" t="n">
        <v>142</v>
      </c>
      <c r="O28" s="142" t="inlineStr">
        <is>
          <t>["egg", "eggs", "whole egg"]</t>
        </is>
      </c>
      <c r="P28" s="142" t="inlineStr">
        <is>
          <t>{"each": 50, "large": 50, "medium": 44}</t>
        </is>
      </c>
      <c r="Q28" s="142" t="inlineStr">
        <is>
          <t>Generic reference – verify</t>
        </is>
      </c>
      <c r="R28" s="142" t="inlineStr"/>
      <c r="S28" s="142" t="inlineStr"/>
      <c r="T28" s="142" t="b">
        <v>0</v>
      </c>
      <c r="U28" s="142" t="inlineStr">
        <is>
          <t>Starting reference value. Confirm against a package label or reference record before relying on it.</t>
        </is>
      </c>
      <c r="V28" s="171" t="n">
        <v>46222.87152777778</v>
      </c>
    </row>
    <row r="29">
      <c r="A29" s="142" t="inlineStr">
        <is>
          <t>ING028</t>
        </is>
      </c>
      <c r="B29" s="142" t="inlineStr">
        <is>
          <t>Skimmed milk</t>
        </is>
      </c>
      <c r="C29" s="142" t="inlineStr"/>
      <c r="D29" s="142" t="inlineStr"/>
      <c r="E29" s="142" t="inlineStr">
        <is>
          <t>100 ml</t>
        </is>
      </c>
      <c r="F29" s="170" t="n">
        <v>100</v>
      </c>
      <c r="G29" s="170" t="inlineStr">
        <is>
          <t>ml</t>
        </is>
      </c>
      <c r="H29" s="170" t="n">
        <v>1</v>
      </c>
      <c r="I29" s="170" t="n">
        <v>34</v>
      </c>
      <c r="J29" s="170" t="n">
        <v>3.4</v>
      </c>
      <c r="K29" s="170" t="n">
        <v>5</v>
      </c>
      <c r="L29" s="170" t="n">
        <v>0.1</v>
      </c>
      <c r="M29" s="170" t="n">
        <v>0</v>
      </c>
      <c r="N29" s="170" t="n">
        <v>44</v>
      </c>
      <c r="O29" s="142" t="inlineStr">
        <is>
          <t>["skim milk", "skimmed milk", "fat free milk"]</t>
        </is>
      </c>
      <c r="P29" s="142" t="inlineStr">
        <is>
          <t>{"cup": 244, "tbsp": 15}</t>
        </is>
      </c>
      <c r="Q29" s="142" t="inlineStr">
        <is>
          <t>Generic reference – verify</t>
        </is>
      </c>
      <c r="R29" s="142" t="inlineStr"/>
      <c r="S29" s="142" t="inlineStr"/>
      <c r="T29" s="142" t="b">
        <v>0</v>
      </c>
      <c r="U29" s="142" t="inlineStr">
        <is>
          <t>Starting reference value. Confirm against a package label or reference record before relying on it.</t>
        </is>
      </c>
      <c r="V29" s="171" t="n">
        <v>46222.87152777778</v>
      </c>
    </row>
    <row r="30">
      <c r="A30" s="142" t="inlineStr">
        <is>
          <t>ING029</t>
        </is>
      </c>
      <c r="B30" s="142" t="inlineStr">
        <is>
          <t>Cheddar cheese</t>
        </is>
      </c>
      <c r="C30" s="142" t="inlineStr"/>
      <c r="D30" s="142" t="inlineStr"/>
      <c r="E30" s="142" t="inlineStr">
        <is>
          <t>100 g</t>
        </is>
      </c>
      <c r="F30" s="170" t="n">
        <v>100</v>
      </c>
      <c r="G30" s="170" t="inlineStr">
        <is>
          <t>g</t>
        </is>
      </c>
      <c r="H30" s="170" t="inlineStr"/>
      <c r="I30" s="170" t="n">
        <v>403</v>
      </c>
      <c r="J30" s="170" t="n">
        <v>25</v>
      </c>
      <c r="K30" s="170" t="n">
        <v>1.3</v>
      </c>
      <c r="L30" s="170" t="n">
        <v>33</v>
      </c>
      <c r="M30" s="170" t="n">
        <v>0</v>
      </c>
      <c r="N30" s="170" t="n">
        <v>621</v>
      </c>
      <c r="O30" s="142" t="inlineStr">
        <is>
          <t>["cheddar", "cheese", "cheese slice", "cheddar slice"]</t>
        </is>
      </c>
      <c r="P30" s="142" t="inlineStr">
        <is>
          <t>{"cup": 113, "slice": 28}</t>
        </is>
      </c>
      <c r="Q30" s="142" t="inlineStr">
        <is>
          <t>Generic reference – verify</t>
        </is>
      </c>
      <c r="R30" s="142" t="inlineStr"/>
      <c r="S30" s="142" t="inlineStr"/>
      <c r="T30" s="142" t="b">
        <v>0</v>
      </c>
      <c r="U30" s="142" t="inlineStr">
        <is>
          <t>Starting reference value. Confirm against a package label or reference record before relying on it.</t>
        </is>
      </c>
      <c r="V30" s="171" t="n">
        <v>46222.87152777778</v>
      </c>
    </row>
    <row r="31">
      <c r="A31" s="142" t="inlineStr">
        <is>
          <t>ING030</t>
        </is>
      </c>
      <c r="B31" s="142" t="inlineStr">
        <is>
          <t>Lentils, cooked</t>
        </is>
      </c>
      <c r="C31" s="142" t="inlineStr"/>
      <c r="D31" s="142" t="inlineStr">
        <is>
          <t>cooked</t>
        </is>
      </c>
      <c r="E31" s="142" t="inlineStr">
        <is>
          <t>100 g</t>
        </is>
      </c>
      <c r="F31" s="170" t="n">
        <v>100</v>
      </c>
      <c r="G31" s="170" t="inlineStr">
        <is>
          <t>g</t>
        </is>
      </c>
      <c r="H31" s="170" t="inlineStr"/>
      <c r="I31" s="170" t="n">
        <v>116</v>
      </c>
      <c r="J31" s="170" t="n">
        <v>9</v>
      </c>
      <c r="K31" s="170" t="n">
        <v>20.1</v>
      </c>
      <c r="L31" s="170" t="n">
        <v>0.4</v>
      </c>
      <c r="M31" s="170" t="n">
        <v>7.9</v>
      </c>
      <c r="N31" s="170" t="n">
        <v>2</v>
      </c>
      <c r="O31" s="142" t="inlineStr">
        <is>
          <t>["lentils", "cooked lentils"]</t>
        </is>
      </c>
      <c r="P31" s="142" t="inlineStr">
        <is>
          <t>{"cup": 198}</t>
        </is>
      </c>
      <c r="Q31" s="142" t="inlineStr">
        <is>
          <t>Generic reference – verify</t>
        </is>
      </c>
      <c r="R31" s="142" t="inlineStr"/>
      <c r="S31" s="142" t="inlineStr"/>
      <c r="T31" s="142" t="b">
        <v>0</v>
      </c>
      <c r="U31" s="142" t="inlineStr">
        <is>
          <t>Starting reference value. Confirm against a package label or reference record before relying on it.</t>
        </is>
      </c>
      <c r="V31" s="171" t="n">
        <v>46222.87152777778</v>
      </c>
    </row>
    <row r="32">
      <c r="A32" s="142" t="inlineStr">
        <is>
          <t>ING031</t>
        </is>
      </c>
      <c r="B32" s="142" t="inlineStr">
        <is>
          <t>Chickpeas, drained</t>
        </is>
      </c>
      <c r="C32" s="142" t="inlineStr"/>
      <c r="D32" s="142" t="inlineStr">
        <is>
          <t>drained</t>
        </is>
      </c>
      <c r="E32" s="142" t="inlineStr">
        <is>
          <t>100 g</t>
        </is>
      </c>
      <c r="F32" s="170" t="n">
        <v>100</v>
      </c>
      <c r="G32" s="170" t="inlineStr">
        <is>
          <t>g</t>
        </is>
      </c>
      <c r="H32" s="170" t="inlineStr"/>
      <c r="I32" s="170" t="n">
        <v>139</v>
      </c>
      <c r="J32" s="170" t="n">
        <v>7.2</v>
      </c>
      <c r="K32" s="170" t="n">
        <v>19.1</v>
      </c>
      <c r="L32" s="170" t="n">
        <v>2.9</v>
      </c>
      <c r="M32" s="170" t="n">
        <v>5.1</v>
      </c>
      <c r="N32" s="170" t="n">
        <v>240</v>
      </c>
      <c r="O32" s="142" t="inlineStr">
        <is>
          <t>["chickpeas", "garbanzo beans"]</t>
        </is>
      </c>
      <c r="P32" s="142" t="inlineStr">
        <is>
          <t>{"cup": 164, "can": 240}</t>
        </is>
      </c>
      <c r="Q32" s="142" t="inlineStr">
        <is>
          <t>Generic reference – verify</t>
        </is>
      </c>
      <c r="R32" s="142" t="inlineStr"/>
      <c r="S32" s="142" t="inlineStr"/>
      <c r="T32" s="142" t="b">
        <v>0</v>
      </c>
      <c r="U32" s="142" t="inlineStr">
        <is>
          <t>Starting reference value. Confirm against a package label or reference record before relying on it.</t>
        </is>
      </c>
      <c r="V32" s="171" t="n">
        <v>46222.87152777778</v>
      </c>
    </row>
    <row r="33">
      <c r="A33" s="142" t="inlineStr">
        <is>
          <t>ING032</t>
        </is>
      </c>
      <c r="B33" s="142" t="inlineStr">
        <is>
          <t>Kidney beans, drained</t>
        </is>
      </c>
      <c r="C33" s="142" t="inlineStr"/>
      <c r="D33" s="142" t="inlineStr">
        <is>
          <t>drained</t>
        </is>
      </c>
      <c r="E33" s="142" t="inlineStr">
        <is>
          <t>100 g</t>
        </is>
      </c>
      <c r="F33" s="170" t="n">
        <v>100</v>
      </c>
      <c r="G33" s="170" t="inlineStr">
        <is>
          <t>g</t>
        </is>
      </c>
      <c r="H33" s="170" t="inlineStr"/>
      <c r="I33" s="170" t="n">
        <v>110</v>
      </c>
      <c r="J33" s="170" t="n">
        <v>7.7</v>
      </c>
      <c r="K33" s="170" t="n">
        <v>14.5</v>
      </c>
      <c r="L33" s="170" t="n">
        <v>0.6</v>
      </c>
      <c r="M33" s="170" t="n">
        <v>6.4</v>
      </c>
      <c r="N33" s="170" t="n">
        <v>240</v>
      </c>
      <c r="O33" s="142" t="inlineStr">
        <is>
          <t>["kidney beans", "red kidney beans"]</t>
        </is>
      </c>
      <c r="P33" s="142" t="inlineStr">
        <is>
          <t>{"cup": 177, "can": 240}</t>
        </is>
      </c>
      <c r="Q33" s="142" t="inlineStr">
        <is>
          <t>Generic reference – verify</t>
        </is>
      </c>
      <c r="R33" s="142" t="inlineStr"/>
      <c r="S33" s="142" t="inlineStr"/>
      <c r="T33" s="142" t="b">
        <v>0</v>
      </c>
      <c r="U33" s="142" t="inlineStr">
        <is>
          <t>Starting reference value. Confirm against a package label or reference record before relying on it.</t>
        </is>
      </c>
      <c r="V33" s="171" t="n">
        <v>46222.87152777778</v>
      </c>
    </row>
    <row r="34">
      <c r="A34" s="142" t="inlineStr">
        <is>
          <t>ING033</t>
        </is>
      </c>
      <c r="B34" s="142" t="inlineStr">
        <is>
          <t>Banana, raw</t>
        </is>
      </c>
      <c r="C34" s="142" t="inlineStr"/>
      <c r="D34" s="142" t="inlineStr">
        <is>
          <t>raw</t>
        </is>
      </c>
      <c r="E34" s="142" t="inlineStr">
        <is>
          <t>100 g</t>
        </is>
      </c>
      <c r="F34" s="170" t="n">
        <v>100</v>
      </c>
      <c r="G34" s="170" t="inlineStr">
        <is>
          <t>g</t>
        </is>
      </c>
      <c r="H34" s="170" t="inlineStr"/>
      <c r="I34" s="170" t="n">
        <v>89</v>
      </c>
      <c r="J34" s="170" t="n">
        <v>1.1</v>
      </c>
      <c r="K34" s="170" t="n">
        <v>22.8</v>
      </c>
      <c r="L34" s="170" t="n">
        <v>0.3</v>
      </c>
      <c r="M34" s="170" t="n">
        <v>2.6</v>
      </c>
      <c r="N34" s="170" t="n">
        <v>1</v>
      </c>
      <c r="O34" s="142" t="inlineStr">
        <is>
          <t>["banana"]</t>
        </is>
      </c>
      <c r="P34" s="142" t="inlineStr">
        <is>
          <t>{"each": 118, "medium": 118, "small": 101, "large": 136}</t>
        </is>
      </c>
      <c r="Q34" s="142" t="inlineStr">
        <is>
          <t>Generic reference – verify</t>
        </is>
      </c>
      <c r="R34" s="142" t="inlineStr"/>
      <c r="S34" s="142" t="inlineStr"/>
      <c r="T34" s="142" t="b">
        <v>0</v>
      </c>
      <c r="U34" s="142" t="inlineStr">
        <is>
          <t>Starting reference value. Confirm against a package label or reference record before relying on it.</t>
        </is>
      </c>
      <c r="V34" s="171" t="n">
        <v>46222.87152777778</v>
      </c>
    </row>
    <row r="35">
      <c r="A35" s="142" t="inlineStr">
        <is>
          <t>ING034</t>
        </is>
      </c>
      <c r="B35" s="142" t="inlineStr">
        <is>
          <t>Apple, raw</t>
        </is>
      </c>
      <c r="C35" s="142" t="inlineStr"/>
      <c r="D35" s="142" t="inlineStr">
        <is>
          <t>raw</t>
        </is>
      </c>
      <c r="E35" s="142" t="inlineStr">
        <is>
          <t>100 g</t>
        </is>
      </c>
      <c r="F35" s="170" t="n">
        <v>100</v>
      </c>
      <c r="G35" s="170" t="inlineStr">
        <is>
          <t>g</t>
        </is>
      </c>
      <c r="H35" s="170" t="inlineStr"/>
      <c r="I35" s="170" t="n">
        <v>52</v>
      </c>
      <c r="J35" s="170" t="n">
        <v>0.3</v>
      </c>
      <c r="K35" s="170" t="n">
        <v>13.8</v>
      </c>
      <c r="L35" s="170" t="n">
        <v>0.2</v>
      </c>
      <c r="M35" s="170" t="n">
        <v>2.4</v>
      </c>
      <c r="N35" s="170" t="n">
        <v>1</v>
      </c>
      <c r="O35" s="142" t="inlineStr">
        <is>
          <t>["apple"]</t>
        </is>
      </c>
      <c r="P35" s="142" t="inlineStr">
        <is>
          <t>{"each": 182, "medium": 182, "small": 149, "large": 223}</t>
        </is>
      </c>
      <c r="Q35" s="142" t="inlineStr">
        <is>
          <t>Generic reference – verify</t>
        </is>
      </c>
      <c r="R35" s="142" t="inlineStr"/>
      <c r="S35" s="142" t="inlineStr"/>
      <c r="T35" s="142" t="b">
        <v>0</v>
      </c>
      <c r="U35" s="142" t="inlineStr">
        <is>
          <t>Starting reference value. Confirm against a package label or reference record before relying on it.</t>
        </is>
      </c>
      <c r="V35" s="171" t="n">
        <v>46222.87152777778</v>
      </c>
    </row>
    <row r="36">
      <c r="A36" s="142" t="inlineStr">
        <is>
          <t>ING035</t>
        </is>
      </c>
      <c r="B36" s="142" t="inlineStr">
        <is>
          <t>Blueberries, raw</t>
        </is>
      </c>
      <c r="C36" s="142" t="inlineStr"/>
      <c r="D36" s="142" t="inlineStr">
        <is>
          <t>raw</t>
        </is>
      </c>
      <c r="E36" s="142" t="inlineStr">
        <is>
          <t>100 g</t>
        </is>
      </c>
      <c r="F36" s="170" t="n">
        <v>100</v>
      </c>
      <c r="G36" s="170" t="inlineStr">
        <is>
          <t>g</t>
        </is>
      </c>
      <c r="H36" s="170" t="inlineStr"/>
      <c r="I36" s="170" t="n">
        <v>57</v>
      </c>
      <c r="J36" s="170" t="n">
        <v>0.7</v>
      </c>
      <c r="K36" s="170" t="n">
        <v>14.5</v>
      </c>
      <c r="L36" s="170" t="n">
        <v>0.3</v>
      </c>
      <c r="M36" s="170" t="n">
        <v>2.4</v>
      </c>
      <c r="N36" s="170" t="n">
        <v>1</v>
      </c>
      <c r="O36" s="142" t="inlineStr">
        <is>
          <t>["blueberries", "blueberry"]</t>
        </is>
      </c>
      <c r="P36" s="142" t="inlineStr">
        <is>
          <t>{"cup": 148}</t>
        </is>
      </c>
      <c r="Q36" s="142" t="inlineStr">
        <is>
          <t>Generic reference – verify</t>
        </is>
      </c>
      <c r="R36" s="142" t="inlineStr"/>
      <c r="S36" s="142" t="inlineStr"/>
      <c r="T36" s="142" t="b">
        <v>0</v>
      </c>
      <c r="U36" s="142" t="inlineStr">
        <is>
          <t>Starting reference value. Confirm against a package label or reference record before relying on it.</t>
        </is>
      </c>
      <c r="V36" s="171" t="n">
        <v>46222.87152777778</v>
      </c>
    </row>
    <row r="37">
      <c r="A37" s="142" t="inlineStr">
        <is>
          <t>ING036</t>
        </is>
      </c>
      <c r="B37" s="142" t="inlineStr">
        <is>
          <t>Honey</t>
        </is>
      </c>
      <c r="C37" s="142" t="inlineStr"/>
      <c r="D37" s="142" t="inlineStr"/>
      <c r="E37" s="142" t="inlineStr">
        <is>
          <t>100 g</t>
        </is>
      </c>
      <c r="F37" s="170" t="n">
        <v>100</v>
      </c>
      <c r="G37" s="170" t="inlineStr">
        <is>
          <t>g</t>
        </is>
      </c>
      <c r="H37" s="170" t="inlineStr"/>
      <c r="I37" s="170" t="n">
        <v>304</v>
      </c>
      <c r="J37" s="170" t="n">
        <v>0.3</v>
      </c>
      <c r="K37" s="170" t="n">
        <v>82.40000000000001</v>
      </c>
      <c r="L37" s="170" t="n">
        <v>0</v>
      </c>
      <c r="M37" s="170" t="n">
        <v>0.2</v>
      </c>
      <c r="N37" s="170" t="n">
        <v>4</v>
      </c>
      <c r="O37" s="142" t="inlineStr">
        <is>
          <t>["honey", "honey to finish"]</t>
        </is>
      </c>
      <c r="P37" s="142" t="inlineStr">
        <is>
          <t>{"tbsp": 21, "tsp": 7}</t>
        </is>
      </c>
      <c r="Q37" s="142" t="inlineStr">
        <is>
          <t>Generic reference – verify</t>
        </is>
      </c>
      <c r="R37" s="142" t="inlineStr"/>
      <c r="S37" s="142" t="inlineStr"/>
      <c r="T37" s="142" t="b">
        <v>0</v>
      </c>
      <c r="U37" s="142" t="inlineStr">
        <is>
          <t>Starting reference value. Confirm against a package label or reference record before relying on it.</t>
        </is>
      </c>
      <c r="V37" s="171" t="n">
        <v>46222.87152777778</v>
      </c>
    </row>
    <row r="38">
      <c r="A38" s="142" t="inlineStr">
        <is>
          <t>ING037</t>
        </is>
      </c>
      <c r="B38" s="142" t="inlineStr">
        <is>
          <t>Plain wheat flour</t>
        </is>
      </c>
      <c r="C38" s="142" t="inlineStr"/>
      <c r="D38" s="142" t="inlineStr">
        <is>
          <t>dry</t>
        </is>
      </c>
      <c r="E38" s="142" t="inlineStr">
        <is>
          <t>100 g</t>
        </is>
      </c>
      <c r="F38" s="170" t="n">
        <v>100</v>
      </c>
      <c r="G38" s="170" t="inlineStr">
        <is>
          <t>g</t>
        </is>
      </c>
      <c r="H38" s="170" t="inlineStr"/>
      <c r="I38" s="170" t="n">
        <v>364</v>
      </c>
      <c r="J38" s="170" t="n">
        <v>10.3</v>
      </c>
      <c r="K38" s="170" t="n">
        <v>76.3</v>
      </c>
      <c r="L38" s="170" t="n">
        <v>1</v>
      </c>
      <c r="M38" s="170" t="n">
        <v>2.7</v>
      </c>
      <c r="N38" s="170" t="n">
        <v>2</v>
      </c>
      <c r="O38" s="142" t="inlineStr">
        <is>
          <t>["flour", "plain flour", "all purpose flour"]</t>
        </is>
      </c>
      <c r="P38" s="142" t="inlineStr">
        <is>
          <t>{"cup": 125, "tbsp": 8}</t>
        </is>
      </c>
      <c r="Q38" s="142" t="inlineStr">
        <is>
          <t>Generic reference – verify</t>
        </is>
      </c>
      <c r="R38" s="142" t="inlineStr"/>
      <c r="S38" s="142" t="inlineStr"/>
      <c r="T38" s="142" t="b">
        <v>0</v>
      </c>
      <c r="U38" s="142" t="inlineStr">
        <is>
          <t>Starting reference value. Confirm against a package label or reference record before relying on it.</t>
        </is>
      </c>
      <c r="V38" s="171" t="n">
        <v>46222.87152777778</v>
      </c>
    </row>
    <row r="39">
      <c r="A39" s="142" t="inlineStr">
        <is>
          <t>ING038</t>
        </is>
      </c>
      <c r="B39" s="142" t="inlineStr">
        <is>
          <t>Butter</t>
        </is>
      </c>
      <c r="C39" s="142" t="inlineStr"/>
      <c r="D39" s="142" t="inlineStr"/>
      <c r="E39" s="142" t="inlineStr">
        <is>
          <t>100 g</t>
        </is>
      </c>
      <c r="F39" s="170" t="n">
        <v>100</v>
      </c>
      <c r="G39" s="170" t="inlineStr">
        <is>
          <t>g</t>
        </is>
      </c>
      <c r="H39" s="170" t="inlineStr"/>
      <c r="I39" s="170" t="n">
        <v>717</v>
      </c>
      <c r="J39" s="170" t="n">
        <v>0.9</v>
      </c>
      <c r="K39" s="170" t="n">
        <v>0.1</v>
      </c>
      <c r="L39" s="170" t="n">
        <v>81.09999999999999</v>
      </c>
      <c r="M39" s="170" t="n">
        <v>0</v>
      </c>
      <c r="N39" s="170" t="n">
        <v>11</v>
      </c>
      <c r="O39" s="142" t="inlineStr">
        <is>
          <t>["butter", "unsalted butter", "salted butter"]</t>
        </is>
      </c>
      <c r="P39" s="142" t="inlineStr">
        <is>
          <t>{"tbsp": 14, "tsp": 4.7}</t>
        </is>
      </c>
      <c r="Q39" s="142" t="inlineStr">
        <is>
          <t>Generic reference – verify</t>
        </is>
      </c>
      <c r="R39" s="142" t="inlineStr"/>
      <c r="S39" s="142" t="inlineStr"/>
      <c r="T39" s="142" t="b">
        <v>0</v>
      </c>
      <c r="U39" s="142" t="inlineStr">
        <is>
          <t>Starting reference value. Confirm against a package label or reference record before relying on it.</t>
        </is>
      </c>
      <c r="V39" s="171" t="n">
        <v>46222.87152777778</v>
      </c>
    </row>
    <row r="40">
      <c r="A40" s="142" t="inlineStr">
        <is>
          <t>ING039</t>
        </is>
      </c>
      <c r="B40" s="142" t="inlineStr">
        <is>
          <t>Granulated sugar</t>
        </is>
      </c>
      <c r="C40" s="142" t="inlineStr"/>
      <c r="D40" s="142" t="inlineStr">
        <is>
          <t>dry</t>
        </is>
      </c>
      <c r="E40" s="142" t="inlineStr">
        <is>
          <t>100 g</t>
        </is>
      </c>
      <c r="F40" s="170" t="n">
        <v>100</v>
      </c>
      <c r="G40" s="170" t="inlineStr">
        <is>
          <t>g</t>
        </is>
      </c>
      <c r="H40" s="170" t="inlineStr"/>
      <c r="I40" s="170" t="n">
        <v>387</v>
      </c>
      <c r="J40" s="170" t="n">
        <v>0</v>
      </c>
      <c r="K40" s="170" t="n">
        <v>100</v>
      </c>
      <c r="L40" s="170" t="n">
        <v>0</v>
      </c>
      <c r="M40" s="170" t="n">
        <v>0</v>
      </c>
      <c r="N40" s="170" t="n">
        <v>1</v>
      </c>
      <c r="O40" s="142" t="inlineStr">
        <is>
          <t>["sugar", "white sugar", "caster sugar", "granulated sugar"]</t>
        </is>
      </c>
      <c r="P40" s="142" t="inlineStr">
        <is>
          <t>{"cup": 200, "tbsp": 12.5, "tsp": 4.2}</t>
        </is>
      </c>
      <c r="Q40" s="142" t="inlineStr">
        <is>
          <t>Generic reference – verify</t>
        </is>
      </c>
      <c r="R40" s="142" t="inlineStr"/>
      <c r="S40" s="142" t="inlineStr"/>
      <c r="T40" s="142" t="b">
        <v>0</v>
      </c>
      <c r="U40" s="142" t="inlineStr">
        <is>
          <t>Starting reference value. Confirm against a package label or reference record before relying on it.</t>
        </is>
      </c>
      <c r="V40" s="171" t="n">
        <v>46222.87152777778</v>
      </c>
    </row>
    <row r="41">
      <c r="A41" s="142" t="inlineStr">
        <is>
          <t>ING040</t>
        </is>
      </c>
      <c r="B41" s="142" t="inlineStr">
        <is>
          <t>Soy sauce</t>
        </is>
      </c>
      <c r="C41" s="142" t="inlineStr"/>
      <c r="D41" s="142" t="inlineStr"/>
      <c r="E41" s="142" t="inlineStr">
        <is>
          <t>100 ml</t>
        </is>
      </c>
      <c r="F41" s="170" t="n">
        <v>100</v>
      </c>
      <c r="G41" s="170" t="inlineStr">
        <is>
          <t>ml</t>
        </is>
      </c>
      <c r="H41" s="170" t="n">
        <v>1</v>
      </c>
      <c r="I41" s="170" t="n">
        <v>53</v>
      </c>
      <c r="J41" s="170" t="n">
        <v>8.1</v>
      </c>
      <c r="K41" s="170" t="n">
        <v>4.9</v>
      </c>
      <c r="L41" s="170" t="n">
        <v>0.6</v>
      </c>
      <c r="M41" s="170" t="n">
        <v>0.8</v>
      </c>
      <c r="N41" s="170" t="n">
        <v>5493</v>
      </c>
      <c r="O41" s="142" t="inlineStr">
        <is>
          <t>["soy sauce", "light soy sauce", "low sodium soy sauce", "low-sodium soy sauce", "tamari", "shoyu"]</t>
        </is>
      </c>
      <c r="P41" s="142" t="inlineStr">
        <is>
          <t>{"tbsp": 15, "tsp": 5, "cup": 240}</t>
        </is>
      </c>
      <c r="Q41" s="142" t="inlineStr">
        <is>
          <t>Generic reference – verify</t>
        </is>
      </c>
      <c r="R41" s="142" t="inlineStr"/>
      <c r="S41" s="142" t="inlineStr"/>
      <c r="T41" s="142" t="b">
        <v>0</v>
      </c>
      <c r="U41" s="142" t="inlineStr">
        <is>
          <t>Starting reference value. Confirm against a package label or reference record before relying on it.</t>
        </is>
      </c>
      <c r="V41" s="171" t="n">
        <v>46222.87152777778</v>
      </c>
    </row>
    <row r="42">
      <c r="A42" s="142" t="inlineStr">
        <is>
          <t>ING041</t>
        </is>
      </c>
      <c r="B42" s="142" t="inlineStr">
        <is>
          <t>Lemon juice</t>
        </is>
      </c>
      <c r="C42" s="142" t="inlineStr"/>
      <c r="D42" s="142" t="inlineStr"/>
      <c r="E42" s="142" t="inlineStr">
        <is>
          <t>100 ml</t>
        </is>
      </c>
      <c r="F42" s="170" t="n">
        <v>100</v>
      </c>
      <c r="G42" s="170" t="inlineStr">
        <is>
          <t>ml</t>
        </is>
      </c>
      <c r="H42" s="170" t="n">
        <v>1</v>
      </c>
      <c r="I42" s="170" t="n">
        <v>22</v>
      </c>
      <c r="J42" s="170" t="n">
        <v>0.4</v>
      </c>
      <c r="K42" s="170" t="n">
        <v>6.9</v>
      </c>
      <c r="L42" s="170" t="n">
        <v>0.2</v>
      </c>
      <c r="M42" s="170" t="n">
        <v>0.3</v>
      </c>
      <c r="N42" s="170" t="n">
        <v>1</v>
      </c>
      <c r="O42" s="142" t="inlineStr">
        <is>
          <t>["lemon juice", "juice of lemon", "lemon", "lemons"]</t>
        </is>
      </c>
      <c r="P42" s="142" t="inlineStr">
        <is>
          <t>{"tbsp": 15, "tsp": 5, "lemon": 48, "cup": 240, "each": 48}</t>
        </is>
      </c>
      <c r="Q42" s="142" t="inlineStr">
        <is>
          <t>Generic reference – verify</t>
        </is>
      </c>
      <c r="R42" s="142" t="inlineStr"/>
      <c r="S42" s="142" t="inlineStr"/>
      <c r="T42" s="142" t="b">
        <v>0</v>
      </c>
      <c r="U42" s="142" t="inlineStr">
        <is>
          <t>Starting reference value. Confirm against a package label or reference record before relying on it.</t>
        </is>
      </c>
      <c r="V42" s="171" t="n">
        <v>46222.87152777778</v>
      </c>
    </row>
    <row r="43">
      <c r="A43" s="142" t="inlineStr">
        <is>
          <t>ING042</t>
        </is>
      </c>
      <c r="B43" s="142" t="inlineStr">
        <is>
          <t>Coconut milk, canned</t>
        </is>
      </c>
      <c r="C43" s="142" t="inlineStr"/>
      <c r="D43" s="142" t="inlineStr">
        <is>
          <t>canned</t>
        </is>
      </c>
      <c r="E43" s="142" t="inlineStr">
        <is>
          <t>100 g</t>
        </is>
      </c>
      <c r="F43" s="170" t="n">
        <v>100</v>
      </c>
      <c r="G43" s="170" t="inlineStr">
        <is>
          <t>g</t>
        </is>
      </c>
      <c r="H43" s="170" t="inlineStr"/>
      <c r="I43" s="170" t="n">
        <v>197</v>
      </c>
      <c r="J43" s="170" t="n">
        <v>2</v>
      </c>
      <c r="K43" s="170" t="n">
        <v>2.8</v>
      </c>
      <c r="L43" s="170" t="n">
        <v>21.3</v>
      </c>
      <c r="M43" s="170" t="n">
        <v>0</v>
      </c>
      <c r="N43" s="170" t="n">
        <v>15</v>
      </c>
      <c r="O43" s="142" t="inlineStr">
        <is>
          <t>["coconut milk", "full fat coconut milk"]</t>
        </is>
      </c>
      <c r="P43" s="142" t="inlineStr">
        <is>
          <t>{"cup": 240, "can": 400}</t>
        </is>
      </c>
      <c r="Q43" s="142" t="inlineStr">
        <is>
          <t>Generic reference – verify</t>
        </is>
      </c>
      <c r="R43" s="142" t="inlineStr"/>
      <c r="S43" s="142" t="inlineStr"/>
      <c r="T43" s="142" t="b">
        <v>0</v>
      </c>
      <c r="U43" s="142" t="inlineStr">
        <is>
          <t>Starting reference value. Confirm against a package label or reference record before relying on it.</t>
        </is>
      </c>
      <c r="V43" s="171" t="n">
        <v>46222.87152777778</v>
      </c>
    </row>
    <row r="44">
      <c r="A44" s="142" t="inlineStr">
        <is>
          <t>ING043</t>
        </is>
      </c>
      <c r="B44" s="142" t="inlineStr">
        <is>
          <t>White bread</t>
        </is>
      </c>
      <c r="C44" s="142" t="inlineStr"/>
      <c r="D44" s="142" t="inlineStr"/>
      <c r="E44" s="142" t="inlineStr">
        <is>
          <t>100 g</t>
        </is>
      </c>
      <c r="F44" s="170" t="n">
        <v>100</v>
      </c>
      <c r="G44" s="170" t="inlineStr">
        <is>
          <t>g</t>
        </is>
      </c>
      <c r="H44" s="170" t="inlineStr"/>
      <c r="I44" s="170" t="n">
        <v>250</v>
      </c>
      <c r="J44" s="170" t="n">
        <v>9</v>
      </c>
      <c r="K44" s="170" t="n">
        <v>49</v>
      </c>
      <c r="L44" s="170" t="n">
        <v>3.2</v>
      </c>
      <c r="M44" s="170" t="n">
        <v>2.7</v>
      </c>
      <c r="N44" s="170" t="n">
        <v>491</v>
      </c>
      <c r="O44" s="142" t="inlineStr">
        <is>
          <t>["bread", "white bread"]</t>
        </is>
      </c>
      <c r="P44" s="142" t="inlineStr">
        <is>
          <t>{"slice": 36}</t>
        </is>
      </c>
      <c r="Q44" s="142" t="inlineStr">
        <is>
          <t>Generic reference – verify</t>
        </is>
      </c>
      <c r="R44" s="142" t="inlineStr"/>
      <c r="S44" s="142" t="inlineStr"/>
      <c r="T44" s="142" t="b">
        <v>0</v>
      </c>
      <c r="U44" s="142" t="inlineStr">
        <is>
          <t>Starting reference value. Confirm against a package label or reference record before relying on it.</t>
        </is>
      </c>
      <c r="V44" s="171" t="n">
        <v>46222.87152777778</v>
      </c>
    </row>
    <row r="45">
      <c r="A45" s="142" t="inlineStr">
        <is>
          <t>ING044</t>
        </is>
      </c>
      <c r="B45" s="142" t="inlineStr">
        <is>
          <t>Sweet potato, raw</t>
        </is>
      </c>
      <c r="C45" s="142" t="inlineStr"/>
      <c r="D45" s="142" t="inlineStr">
        <is>
          <t>raw</t>
        </is>
      </c>
      <c r="E45" s="142" t="inlineStr">
        <is>
          <t>100 g</t>
        </is>
      </c>
      <c r="F45" s="170" t="n">
        <v>100</v>
      </c>
      <c r="G45" s="170" t="inlineStr">
        <is>
          <t>g</t>
        </is>
      </c>
      <c r="H45" s="170" t="inlineStr"/>
      <c r="I45" s="170" t="n">
        <v>86</v>
      </c>
      <c r="J45" s="170" t="n">
        <v>1.6</v>
      </c>
      <c r="K45" s="170" t="n">
        <v>20.1</v>
      </c>
      <c r="L45" s="170" t="n">
        <v>0.1</v>
      </c>
      <c r="M45" s="170" t="n">
        <v>3</v>
      </c>
      <c r="N45" s="170" t="n">
        <v>55</v>
      </c>
      <c r="O45" s="142" t="inlineStr">
        <is>
          <t>["sweet potato", "sweet potatoes"]</t>
        </is>
      </c>
      <c r="P45" s="142" t="inlineStr">
        <is>
          <t>{"each": 130, "medium": 130, "small": 100, "large": 250, "cup": 133}</t>
        </is>
      </c>
      <c r="Q45" s="142" t="inlineStr">
        <is>
          <t>Generic reference – verify</t>
        </is>
      </c>
      <c r="R45" s="142" t="inlineStr"/>
      <c r="S45" s="142" t="inlineStr"/>
      <c r="T45" s="142" t="b">
        <v>0</v>
      </c>
      <c r="U45" s="142" t="inlineStr">
        <is>
          <t>Starting reference value. Confirm against a package label or reference record before relying on it.</t>
        </is>
      </c>
      <c r="V45" s="171" t="n">
        <v>46222.87152777778</v>
      </c>
    </row>
    <row r="46">
      <c r="A46" s="142" t="inlineStr">
        <is>
          <t>ING045</t>
        </is>
      </c>
      <c r="B46" s="142" t="inlineStr">
        <is>
          <t>Avocado, raw</t>
        </is>
      </c>
      <c r="C46" s="142" t="inlineStr"/>
      <c r="D46" s="142" t="inlineStr">
        <is>
          <t>raw</t>
        </is>
      </c>
      <c r="E46" s="142" t="inlineStr">
        <is>
          <t>100 g</t>
        </is>
      </c>
      <c r="F46" s="170" t="n">
        <v>100</v>
      </c>
      <c r="G46" s="170" t="inlineStr">
        <is>
          <t>g</t>
        </is>
      </c>
      <c r="H46" s="170" t="inlineStr"/>
      <c r="I46" s="170" t="n">
        <v>160</v>
      </c>
      <c r="J46" s="170" t="n">
        <v>2</v>
      </c>
      <c r="K46" s="170" t="n">
        <v>8.5</v>
      </c>
      <c r="L46" s="170" t="n">
        <v>14.7</v>
      </c>
      <c r="M46" s="170" t="n">
        <v>6.7</v>
      </c>
      <c r="N46" s="170" t="n">
        <v>7</v>
      </c>
      <c r="O46" s="142" t="inlineStr">
        <is>
          <t>["avocado", "avocados"]</t>
        </is>
      </c>
      <c r="P46" s="142" t="inlineStr">
        <is>
          <t>{"each": 136, "half": 68, "medium": 136, "large": 201, "small": 100}</t>
        </is>
      </c>
      <c r="Q46" s="142" t="inlineStr">
        <is>
          <t>Generic reference – verify</t>
        </is>
      </c>
      <c r="R46" s="142" t="inlineStr"/>
      <c r="S46" s="142" t="inlineStr"/>
      <c r="T46" s="142" t="b">
        <v>0</v>
      </c>
      <c r="U46" s="142" t="inlineStr">
        <is>
          <t>Starting reference value. Confirm against a package label or reference record before relying on it.</t>
        </is>
      </c>
      <c r="V46" s="171" t="n">
        <v>46222.87152777778</v>
      </c>
    </row>
    <row r="47">
      <c r="A47" s="142" t="inlineStr">
        <is>
          <t>ING046</t>
        </is>
      </c>
      <c r="B47" s="142" t="inlineStr">
        <is>
          <t>Low-fat mayonnaise</t>
        </is>
      </c>
      <c r="C47" s="142" t="inlineStr"/>
      <c r="D47" s="142" t="inlineStr"/>
      <c r="E47" s="142" t="inlineStr">
        <is>
          <t>100 g</t>
        </is>
      </c>
      <c r="F47" s="170" t="n">
        <v>100</v>
      </c>
      <c r="G47" s="170" t="inlineStr">
        <is>
          <t>g</t>
        </is>
      </c>
      <c r="H47" s="170" t="inlineStr"/>
      <c r="I47" s="170" t="n">
        <v>270</v>
      </c>
      <c r="J47" s="170" t="n">
        <v>1</v>
      </c>
      <c r="K47" s="170" t="n">
        <v>12</v>
      </c>
      <c r="L47" s="170" t="n">
        <v>24</v>
      </c>
      <c r="M47" s="170" t="n">
        <v>0</v>
      </c>
      <c r="N47" s="170" t="n">
        <v>700</v>
      </c>
      <c r="O47" s="142" t="inlineStr">
        <is>
          <t>["light mayonnaise", "low fat mayo", "mayonnaise"]</t>
        </is>
      </c>
      <c r="P47" s="142" t="inlineStr">
        <is>
          <t>{"tbsp": 15, "tsp": 5}</t>
        </is>
      </c>
      <c r="Q47" s="142" t="inlineStr">
        <is>
          <t>Generic reference – verify</t>
        </is>
      </c>
      <c r="R47" s="142" t="inlineStr"/>
      <c r="S47" s="142" t="inlineStr"/>
      <c r="T47" s="142" t="b">
        <v>0</v>
      </c>
      <c r="U47" s="142" t="inlineStr">
        <is>
          <t>Starting reference value. Confirm against a package label or reference record before relying on it.</t>
        </is>
      </c>
      <c r="V47" s="171" t="n">
        <v>46222.87152777778</v>
      </c>
    </row>
    <row r="48">
      <c r="A48" s="142" t="inlineStr">
        <is>
          <t>ING047</t>
        </is>
      </c>
      <c r="B48" s="142" t="inlineStr">
        <is>
          <t>Peanut butter</t>
        </is>
      </c>
      <c r="C48" s="142" t="inlineStr"/>
      <c r="D48" s="142" t="inlineStr"/>
      <c r="E48" s="142" t="inlineStr">
        <is>
          <t>100 g</t>
        </is>
      </c>
      <c r="F48" s="170" t="n">
        <v>100</v>
      </c>
      <c r="G48" s="170" t="inlineStr">
        <is>
          <t>g</t>
        </is>
      </c>
      <c r="H48" s="170" t="inlineStr"/>
      <c r="I48" s="170" t="n">
        <v>588</v>
      </c>
      <c r="J48" s="170" t="n">
        <v>25</v>
      </c>
      <c r="K48" s="170" t="n">
        <v>20</v>
      </c>
      <c r="L48" s="170" t="n">
        <v>50</v>
      </c>
      <c r="M48" s="170" t="n">
        <v>6</v>
      </c>
      <c r="N48" s="170" t="n">
        <v>426</v>
      </c>
      <c r="O48" s="142" t="inlineStr">
        <is>
          <t>["peanut butter"]</t>
        </is>
      </c>
      <c r="P48" s="142" t="inlineStr">
        <is>
          <t>{"tbsp": 16, "tsp": 5.3}</t>
        </is>
      </c>
      <c r="Q48" s="142" t="inlineStr">
        <is>
          <t>Generic reference – verify</t>
        </is>
      </c>
      <c r="R48" s="142" t="inlineStr"/>
      <c r="S48" s="142" t="inlineStr"/>
      <c r="T48" s="142" t="b">
        <v>0</v>
      </c>
      <c r="U48" s="142" t="inlineStr">
        <is>
          <t>Starting reference value. Confirm against a package label or reference record before relying on it.</t>
        </is>
      </c>
      <c r="V48" s="171" t="n">
        <v>46222.87152777778</v>
      </c>
    </row>
    <row r="49">
      <c r="A49" s="142" t="inlineStr">
        <is>
          <t>ING048</t>
        </is>
      </c>
      <c r="B49" s="142" t="inlineStr">
        <is>
          <t>Plain low-fat yoghurt</t>
        </is>
      </c>
      <c r="C49" s="142" t="inlineStr"/>
      <c r="D49" s="142" t="inlineStr"/>
      <c r="E49" s="142" t="inlineStr">
        <is>
          <t>100 g</t>
        </is>
      </c>
      <c r="F49" s="170" t="n">
        <v>100</v>
      </c>
      <c r="G49" s="170" t="inlineStr">
        <is>
          <t>g</t>
        </is>
      </c>
      <c r="H49" s="170" t="n">
        <v>1.03</v>
      </c>
      <c r="I49" s="170" t="n">
        <v>63</v>
      </c>
      <c r="J49" s="170" t="n">
        <v>5.3</v>
      </c>
      <c r="K49" s="170" t="n">
        <v>7</v>
      </c>
      <c r="L49" s="170" t="n">
        <v>1.6</v>
      </c>
      <c r="M49" s="170" t="n">
        <v>0</v>
      </c>
      <c r="N49" s="170" t="n">
        <v>70</v>
      </c>
      <c r="O49" s="142" t="inlineStr">
        <is>
          <t>["plain yoghurt", "low fat yogurt", "natural yoghurt", "plain yogurt", "low fat yoghurt"]</t>
        </is>
      </c>
      <c r="P49" s="142" t="inlineStr">
        <is>
          <t>{"cup": 245, "tbsp": 15}</t>
        </is>
      </c>
      <c r="Q49" s="142" t="inlineStr">
        <is>
          <t>Generic reference – verify</t>
        </is>
      </c>
      <c r="R49" s="142" t="inlineStr"/>
      <c r="S49" s="142" t="inlineStr"/>
      <c r="T49" s="142" t="b">
        <v>0</v>
      </c>
      <c r="U49" s="142" t="inlineStr">
        <is>
          <t>Starting reference value. Confirm against a package label or reference record before relying on it.</t>
        </is>
      </c>
      <c r="V49" s="171" t="n">
        <v>46222.87152777778</v>
      </c>
    </row>
    <row r="50">
      <c r="A50" s="142" t="inlineStr">
        <is>
          <t>ING049</t>
        </is>
      </c>
      <c r="B50" s="142" t="inlineStr">
        <is>
          <t>Quinoa, cooked</t>
        </is>
      </c>
      <c r="C50" s="142" t="inlineStr"/>
      <c r="D50" s="142" t="inlineStr">
        <is>
          <t>cooked</t>
        </is>
      </c>
      <c r="E50" s="142" t="inlineStr">
        <is>
          <t>100 g</t>
        </is>
      </c>
      <c r="F50" s="170" t="n">
        <v>100</v>
      </c>
      <c r="G50" s="170" t="inlineStr">
        <is>
          <t>g</t>
        </is>
      </c>
      <c r="H50" s="170" t="inlineStr"/>
      <c r="I50" s="170" t="n">
        <v>120</v>
      </c>
      <c r="J50" s="170" t="n">
        <v>4.4</v>
      </c>
      <c r="K50" s="170" t="n">
        <v>21.3</v>
      </c>
      <c r="L50" s="170" t="n">
        <v>1.9</v>
      </c>
      <c r="M50" s="170" t="n">
        <v>2.8</v>
      </c>
      <c r="N50" s="170" t="n">
        <v>7</v>
      </c>
      <c r="O50" s="142" t="inlineStr">
        <is>
          <t>["quinoa", "cooked quinoa"]</t>
        </is>
      </c>
      <c r="P50" s="142" t="inlineStr">
        <is>
          <t>{"cup": 185}</t>
        </is>
      </c>
      <c r="Q50" s="142" t="inlineStr">
        <is>
          <t>Generic reference – verify</t>
        </is>
      </c>
      <c r="R50" s="142" t="inlineStr"/>
      <c r="S50" s="142" t="inlineStr"/>
      <c r="T50" s="142" t="b">
        <v>0</v>
      </c>
      <c r="U50" s="142" t="inlineStr">
        <is>
          <t>Starting reference value. Confirm against a package label or reference record before relying on it.</t>
        </is>
      </c>
      <c r="V50" s="171" t="n">
        <v>46222.87152777778</v>
      </c>
    </row>
    <row r="51">
      <c r="A51" s="142" t="inlineStr">
        <is>
          <t>ING050</t>
        </is>
      </c>
      <c r="B51" s="142" t="inlineStr">
        <is>
          <t>Frozen mixed vegetables</t>
        </is>
      </c>
      <c r="C51" s="142" t="inlineStr"/>
      <c r="D51" s="142" t="inlineStr">
        <is>
          <t>frozen</t>
        </is>
      </c>
      <c r="E51" s="142" t="inlineStr">
        <is>
          <t>100 g</t>
        </is>
      </c>
      <c r="F51" s="170" t="n">
        <v>100</v>
      </c>
      <c r="G51" s="170" t="inlineStr">
        <is>
          <t>g</t>
        </is>
      </c>
      <c r="H51" s="170" t="inlineStr"/>
      <c r="I51" s="170" t="n">
        <v>65</v>
      </c>
      <c r="J51" s="170" t="n">
        <v>3</v>
      </c>
      <c r="K51" s="170" t="n">
        <v>11</v>
      </c>
      <c r="L51" s="170" t="n">
        <v>0.6</v>
      </c>
      <c r="M51" s="170" t="n">
        <v>4</v>
      </c>
      <c r="N51" s="170" t="n">
        <v>60</v>
      </c>
      <c r="O51" s="142" t="inlineStr">
        <is>
          <t>["mixed vegetables", "frozen vegetables"]</t>
        </is>
      </c>
      <c r="P51" s="142" t="inlineStr">
        <is>
          <t>{"cup": 150}</t>
        </is>
      </c>
      <c r="Q51" s="142" t="inlineStr">
        <is>
          <t>Generic reference – verify</t>
        </is>
      </c>
      <c r="R51" s="142" t="inlineStr"/>
      <c r="S51" s="142" t="inlineStr"/>
      <c r="T51" s="142" t="b">
        <v>0</v>
      </c>
      <c r="U51" s="142" t="inlineStr">
        <is>
          <t>Starting reference value. Confirm against a package label or reference record before relying on it.</t>
        </is>
      </c>
      <c r="V51" s="171" t="n">
        <v>46222.87152777778</v>
      </c>
    </row>
    <row r="52">
      <c r="A52" s="142" t="inlineStr">
        <is>
          <t>ING051</t>
        </is>
      </c>
      <c r="B52" s="142" t="inlineStr">
        <is>
          <t>Cucumber, raw</t>
        </is>
      </c>
      <c r="C52" s="142" t="inlineStr"/>
      <c r="D52" s="142" t="inlineStr">
        <is>
          <t>raw</t>
        </is>
      </c>
      <c r="E52" s="142" t="inlineStr">
        <is>
          <t>100 g</t>
        </is>
      </c>
      <c r="F52" s="170" t="n">
        <v>100</v>
      </c>
      <c r="G52" s="170" t="inlineStr">
        <is>
          <t>g</t>
        </is>
      </c>
      <c r="H52" s="170" t="inlineStr"/>
      <c r="I52" s="170" t="n">
        <v>15</v>
      </c>
      <c r="J52" s="170" t="n">
        <v>0.7</v>
      </c>
      <c r="K52" s="170" t="n">
        <v>3.6</v>
      </c>
      <c r="L52" s="170" t="n">
        <v>0.1</v>
      </c>
      <c r="M52" s="170" t="n">
        <v>0.5</v>
      </c>
      <c r="N52" s="170" t="n">
        <v>2</v>
      </c>
      <c r="O52" s="142" t="inlineStr">
        <is>
          <t>["cucumber", "Persian cucumber", "Persian cucumbers", "mini cucumber", "Lebanese cucumber", "English cucumber", "seedless cucumber", "cucumbers", "persian cucumber", "persian cucumbers", "mini cucumbers", "english cucumber"]</t>
        </is>
      </c>
      <c r="P52" s="142" t="inlineStr">
        <is>
          <t>{"each": 100, "medium": 200, "small": 100, "large": 300, "cup": 104}</t>
        </is>
      </c>
      <c r="Q52" s="142" t="inlineStr">
        <is>
          <t>Generic reference – verify</t>
        </is>
      </c>
      <c r="R52" s="142" t="inlineStr"/>
      <c r="S52" s="142" t="inlineStr"/>
      <c r="T52" s="142" t="b">
        <v>0</v>
      </c>
      <c r="U52" s="142" t="inlineStr">
        <is>
          <t>Persian cucumber weight varies; weigh when practical. Starter estimate is 100 g each.</t>
        </is>
      </c>
      <c r="V52" s="171" t="n">
        <v>46223</v>
      </c>
    </row>
    <row r="53">
      <c r="A53" s="142" t="inlineStr">
        <is>
          <t>ING052</t>
        </is>
      </c>
      <c r="B53" s="142" t="inlineStr">
        <is>
          <t>Salt</t>
        </is>
      </c>
      <c r="C53" s="142" t="inlineStr"/>
      <c r="D53" s="142" t="inlineStr">
        <is>
          <t>dry</t>
        </is>
      </c>
      <c r="E53" s="142" t="inlineStr">
        <is>
          <t>100 g</t>
        </is>
      </c>
      <c r="F53" s="170" t="n">
        <v>100</v>
      </c>
      <c r="G53" s="170" t="inlineStr">
        <is>
          <t>g</t>
        </is>
      </c>
      <c r="H53" s="170" t="inlineStr"/>
      <c r="I53" s="170" t="n">
        <v>0</v>
      </c>
      <c r="J53" s="170" t="n">
        <v>0</v>
      </c>
      <c r="K53" s="170" t="n">
        <v>0</v>
      </c>
      <c r="L53" s="170" t="n">
        <v>0</v>
      </c>
      <c r="M53" s="170" t="n">
        <v>0</v>
      </c>
      <c r="N53" s="170" t="n">
        <v>39300</v>
      </c>
      <c r="O53" s="142" t="inlineStr">
        <is>
          <t>["salt", "kosher salt", "sea salt", "table salt", "fine salt", "coarse salt", "himalayan salt", "pink salt", "rock salt"]</t>
        </is>
      </c>
      <c r="P53" s="142" t="inlineStr">
        <is>
          <t>{"tsp": 5, "tbsp": 15, "pinch": 0.4}</t>
        </is>
      </c>
      <c r="Q53" s="142" t="inlineStr">
        <is>
          <t>Generic reference – verify</t>
        </is>
      </c>
      <c r="R53" s="142" t="inlineStr"/>
      <c r="S53" s="142" t="inlineStr"/>
      <c r="T53" s="142" t="b">
        <v>0</v>
      </c>
      <c r="U53" s="142" t="inlineStr">
        <is>
          <t>Kosher salt crystal size varies substantially by brand. Prefer grams or the package label.</t>
        </is>
      </c>
      <c r="V53" s="171" t="n">
        <v>46223</v>
      </c>
    </row>
    <row r="54">
      <c r="A54" s="142" t="inlineStr">
        <is>
          <t>ING053</t>
        </is>
      </c>
      <c r="B54" s="142" t="inlineStr">
        <is>
          <t>Rice vinegar, seasoned</t>
        </is>
      </c>
      <c r="C54" s="142" t="inlineStr"/>
      <c r="D54" s="142" t="inlineStr">
        <is>
          <t>liquid</t>
        </is>
      </c>
      <c r="E54" s="142" t="inlineStr">
        <is>
          <t>100 ml</t>
        </is>
      </c>
      <c r="F54" s="170" t="n">
        <v>100</v>
      </c>
      <c r="G54" s="170" t="inlineStr">
        <is>
          <t>ml</t>
        </is>
      </c>
      <c r="H54" s="170" t="n">
        <v>1</v>
      </c>
      <c r="I54" s="170" t="n">
        <v>50</v>
      </c>
      <c r="J54" s="170" t="n">
        <v>0</v>
      </c>
      <c r="K54" s="170" t="n">
        <v>12.5</v>
      </c>
      <c r="L54" s="170" t="n">
        <v>0</v>
      </c>
      <c r="M54" s="170" t="n">
        <v>0</v>
      </c>
      <c r="N54" s="170" t="n">
        <v>700</v>
      </c>
      <c r="O54" s="142" t="inlineStr">
        <is>
          <t>["seasoned rice vinegar", "rice vinegar", "rice wine vinegar"]</t>
        </is>
      </c>
      <c r="P54" s="142" t="inlineStr">
        <is>
          <t>{"cup": 240, "tbsp": 15, "tsp": 5}</t>
        </is>
      </c>
      <c r="Q54" s="142" t="inlineStr">
        <is>
          <t>Generic reference – verify</t>
        </is>
      </c>
      <c r="R54" s="142" t="inlineStr"/>
      <c r="S54" s="142" t="inlineStr"/>
      <c r="T54" s="142" t="b">
        <v>0</v>
      </c>
      <c r="U54" s="142" t="inlineStr">
        <is>
          <t>Seasoned products vary in sugar and sodium; verify the bottle label.</t>
        </is>
      </c>
      <c r="V54" s="171" t="n">
        <v>46223</v>
      </c>
    </row>
    <row r="55">
      <c r="A55" s="142" t="inlineStr">
        <is>
          <t>ING054</t>
        </is>
      </c>
      <c r="B55" s="142" t="inlineStr">
        <is>
          <t>Sesame oil</t>
        </is>
      </c>
      <c r="C55" s="142" t="inlineStr"/>
      <c r="D55" s="142" t="inlineStr">
        <is>
          <t>liquid</t>
        </is>
      </c>
      <c r="E55" s="142" t="inlineStr">
        <is>
          <t>100 g</t>
        </is>
      </c>
      <c r="F55" s="170" t="n">
        <v>100</v>
      </c>
      <c r="G55" s="170" t="inlineStr">
        <is>
          <t>g</t>
        </is>
      </c>
      <c r="H55" s="170" t="n">
        <v>0.92</v>
      </c>
      <c r="I55" s="170" t="n">
        <v>884</v>
      </c>
      <c r="J55" s="170" t="n">
        <v>0</v>
      </c>
      <c r="K55" s="170" t="n">
        <v>0</v>
      </c>
      <c r="L55" s="170" t="n">
        <v>100</v>
      </c>
      <c r="M55" s="170" t="n">
        <v>0</v>
      </c>
      <c r="N55" s="170" t="n">
        <v>0</v>
      </c>
      <c r="O55" s="142" t="inlineStr">
        <is>
          <t>["sesame oil", "toasted sesame oil", "dark sesame oil"]</t>
        </is>
      </c>
      <c r="P55" s="142" t="inlineStr">
        <is>
          <t>{"cup": 220, "tbsp": 13.6, "tsp": 4.5}</t>
        </is>
      </c>
      <c r="Q55" s="142" t="inlineStr">
        <is>
          <t>Generic reference – verify</t>
        </is>
      </c>
      <c r="R55" s="142" t="inlineStr"/>
      <c r="S55" s="142" t="inlineStr"/>
      <c r="T55" s="142" t="b">
        <v>0</v>
      </c>
      <c r="U55" s="142" t="inlineStr">
        <is>
          <t>Use the package label where available.</t>
        </is>
      </c>
      <c r="V55" s="171" t="n">
        <v>46223</v>
      </c>
    </row>
    <row r="56">
      <c r="A56" s="142" t="inlineStr">
        <is>
          <t>ING055</t>
        </is>
      </c>
      <c r="B56" s="142" t="inlineStr">
        <is>
          <t>Chilli paste</t>
        </is>
      </c>
      <c r="C56" s="142" t="inlineStr"/>
      <c r="D56" s="142" t="inlineStr">
        <is>
          <t>prepared</t>
        </is>
      </c>
      <c r="E56" s="142" t="inlineStr">
        <is>
          <t>100 g</t>
        </is>
      </c>
      <c r="F56" s="170" t="n">
        <v>100</v>
      </c>
      <c r="G56" s="170" t="inlineStr">
        <is>
          <t>g</t>
        </is>
      </c>
      <c r="H56" s="170" t="inlineStr"/>
      <c r="I56" s="170" t="n">
        <v>90</v>
      </c>
      <c r="J56" s="170" t="n">
        <v>2</v>
      </c>
      <c r="K56" s="170" t="n">
        <v>16</v>
      </c>
      <c r="L56" s="170" t="n">
        <v>2</v>
      </c>
      <c r="M56" s="170" t="n">
        <v>2</v>
      </c>
      <c r="N56" s="170" t="n">
        <v>1800</v>
      </c>
      <c r="O56" s="142" t="inlineStr">
        <is>
          <t>["chili paste", "chilli paste", "sambal oelek", "gochujang", "chilli sauce"]</t>
        </is>
      </c>
      <c r="P56" s="142" t="inlineStr">
        <is>
          <t>{"tbsp": 16, "tsp": 5.3}</t>
        </is>
      </c>
      <c r="Q56" s="142" t="inlineStr">
        <is>
          <t>Generic reference – verify</t>
        </is>
      </c>
      <c r="R56" s="142" t="inlineStr"/>
      <c r="S56" s="142" t="inlineStr"/>
      <c r="T56" s="142" t="b">
        <v>0</v>
      </c>
      <c r="U56" s="142" t="inlineStr">
        <is>
          <t>Products differ widely; use the jar label.</t>
        </is>
      </c>
      <c r="V56" s="171" t="n">
        <v>46223</v>
      </c>
    </row>
    <row r="57">
      <c r="A57" s="142" t="inlineStr">
        <is>
          <t>ING056</t>
        </is>
      </c>
      <c r="B57" s="142" t="inlineStr">
        <is>
          <t>Brown sugar</t>
        </is>
      </c>
      <c r="C57" s="142" t="inlineStr"/>
      <c r="D57" s="142" t="inlineStr">
        <is>
          <t>dry</t>
        </is>
      </c>
      <c r="E57" s="142" t="inlineStr">
        <is>
          <t>100 g</t>
        </is>
      </c>
      <c r="F57" s="170" t="n">
        <v>100</v>
      </c>
      <c r="G57" s="170" t="inlineStr">
        <is>
          <t>g</t>
        </is>
      </c>
      <c r="H57" s="170" t="inlineStr"/>
      <c r="I57" s="170" t="n">
        <v>380</v>
      </c>
      <c r="J57" s="170" t="n">
        <v>0</v>
      </c>
      <c r="K57" s="170" t="n">
        <v>98</v>
      </c>
      <c r="L57" s="170" t="n">
        <v>0</v>
      </c>
      <c r="M57" s="170" t="n">
        <v>0</v>
      </c>
      <c r="N57" s="170" t="n">
        <v>28</v>
      </c>
      <c r="O57" s="142" t="inlineStr">
        <is>
          <t>["brown sugar", "light brown sugar", "dark brown sugar", "muscovado sugar"]</t>
        </is>
      </c>
      <c r="P57" s="142" t="inlineStr">
        <is>
          <t>{"cup": 200, "tbsp": 12.5, "tsp": 4.2}</t>
        </is>
      </c>
      <c r="Q57" s="142" t="inlineStr">
        <is>
          <t>Generic reference – verify</t>
        </is>
      </c>
      <c r="R57" s="142" t="inlineStr"/>
      <c r="S57" s="142" t="inlineStr"/>
      <c r="T57" s="142" t="b">
        <v>0</v>
      </c>
      <c r="U57" s="142" t="inlineStr">
        <is>
          <t>Starter reference value.</t>
        </is>
      </c>
      <c r="V57" s="171" t="n">
        <v>46223</v>
      </c>
    </row>
    <row r="58">
      <c r="A58" s="142" t="inlineStr">
        <is>
          <t>ING057</t>
        </is>
      </c>
      <c r="B58" s="142" t="inlineStr">
        <is>
          <t>Lime juice</t>
        </is>
      </c>
      <c r="C58" s="142" t="inlineStr"/>
      <c r="D58" s="142" t="inlineStr">
        <is>
          <t>liquid</t>
        </is>
      </c>
      <c r="E58" s="142" t="inlineStr">
        <is>
          <t>100 g</t>
        </is>
      </c>
      <c r="F58" s="170" t="n">
        <v>100</v>
      </c>
      <c r="G58" s="170" t="inlineStr">
        <is>
          <t>g</t>
        </is>
      </c>
      <c r="H58" s="170" t="n">
        <v>1</v>
      </c>
      <c r="I58" s="170" t="n">
        <v>25</v>
      </c>
      <c r="J58" s="170" t="n">
        <v>0.4</v>
      </c>
      <c r="K58" s="170" t="n">
        <v>8.4</v>
      </c>
      <c r="L58" s="170" t="n">
        <v>0.1</v>
      </c>
      <c r="M58" s="170" t="n">
        <v>0.4</v>
      </c>
      <c r="N58" s="170" t="n">
        <v>2</v>
      </c>
      <c r="O58" s="142" t="inlineStr">
        <is>
          <t>["lime juice", "juice of lime", "fresh lime juice", "lime", "limes"]</t>
        </is>
      </c>
      <c r="P58" s="142" t="inlineStr">
        <is>
          <t>{"cup": 240, "tbsp": 15, "tsp": 5, "lime": 30, "each": 30}</t>
        </is>
      </c>
      <c r="Q58" s="142" t="inlineStr">
        <is>
          <t>Generic reference – verify</t>
        </is>
      </c>
      <c r="R58" s="142" t="inlineStr"/>
      <c r="S58" s="142" t="inlineStr"/>
      <c r="T58" s="142" t="b">
        <v>0</v>
      </c>
      <c r="U58" s="142" t="inlineStr">
        <is>
          <t>One lime commonly yields about 30 g juice; actual yield varies.</t>
        </is>
      </c>
      <c r="V58" s="171" t="n">
        <v>46223</v>
      </c>
    </row>
    <row r="59">
      <c r="A59" s="142" t="inlineStr">
        <is>
          <t>ING058</t>
        </is>
      </c>
      <c r="B59" s="142" t="inlineStr">
        <is>
          <t>Sesame seeds</t>
        </is>
      </c>
      <c r="C59" s="142" t="inlineStr"/>
      <c r="D59" s="142" t="inlineStr">
        <is>
          <t>dry</t>
        </is>
      </c>
      <c r="E59" s="142" t="inlineStr">
        <is>
          <t>100 g</t>
        </is>
      </c>
      <c r="F59" s="170" t="n">
        <v>100</v>
      </c>
      <c r="G59" s="170" t="inlineStr">
        <is>
          <t>g</t>
        </is>
      </c>
      <c r="H59" s="170" t="inlineStr"/>
      <c r="I59" s="170" t="n">
        <v>573</v>
      </c>
      <c r="J59" s="170" t="n">
        <v>17.7</v>
      </c>
      <c r="K59" s="170" t="n">
        <v>23.4</v>
      </c>
      <c r="L59" s="170" t="n">
        <v>49.7</v>
      </c>
      <c r="M59" s="170" t="n">
        <v>11.8</v>
      </c>
      <c r="N59" s="170" t="n">
        <v>11</v>
      </c>
      <c r="O59" s="142" t="inlineStr">
        <is>
          <t>["sesame seeds", "black sesame seeds", "white sesame seeds", "toasted sesame seeds"]</t>
        </is>
      </c>
      <c r="P59" s="142" t="inlineStr">
        <is>
          <t>{"tbsp": 9, "tsp": 3, "cup": 144}</t>
        </is>
      </c>
      <c r="Q59" s="142" t="inlineStr">
        <is>
          <t>Generic reference – verify</t>
        </is>
      </c>
      <c r="R59" s="142" t="inlineStr"/>
      <c r="S59" s="142" t="inlineStr"/>
      <c r="T59" s="142" t="b">
        <v>0</v>
      </c>
      <c r="U59" s="142" t="inlineStr">
        <is>
          <t>Starter reference value.</t>
        </is>
      </c>
      <c r="V59" s="171" t="n">
        <v>46223</v>
      </c>
    </row>
    <row r="60">
      <c r="A60" s="142" t="inlineStr">
        <is>
          <t>ING059</t>
        </is>
      </c>
      <c r="B60" s="142" t="inlineStr">
        <is>
          <t>Black pepper</t>
        </is>
      </c>
      <c r="C60" s="142" t="inlineStr"/>
      <c r="D60" s="142" t="inlineStr">
        <is>
          <t>dry</t>
        </is>
      </c>
      <c r="E60" s="142" t="inlineStr">
        <is>
          <t>100 g</t>
        </is>
      </c>
      <c r="F60" s="170" t="n">
        <v>100</v>
      </c>
      <c r="G60" s="170" t="inlineStr">
        <is>
          <t>g</t>
        </is>
      </c>
      <c r="H60" s="170" t="inlineStr"/>
      <c r="I60" s="170" t="n">
        <v>251</v>
      </c>
      <c r="J60" s="170" t="n">
        <v>10.4</v>
      </c>
      <c r="K60" s="170" t="n">
        <v>64</v>
      </c>
      <c r="L60" s="170" t="n">
        <v>3.3</v>
      </c>
      <c r="M60" s="170" t="n">
        <v>25.3</v>
      </c>
      <c r="N60" s="170" t="n">
        <v>20</v>
      </c>
      <c r="O60" s="142" t="inlineStr">
        <is>
          <t>["black pepper", "ground pepper", "pepper"]</t>
        </is>
      </c>
      <c r="P60" s="142" t="inlineStr">
        <is>
          <t>{"tsp": 2.3, "tbsp": 6.9, "pinch": 0.2}</t>
        </is>
      </c>
      <c r="Q60" s="142" t="inlineStr">
        <is>
          <t>Generic reference – verify</t>
        </is>
      </c>
      <c r="R60" s="142" t="inlineStr"/>
      <c r="S60" s="142" t="inlineStr"/>
      <c r="T60" s="142" t="b">
        <v>0</v>
      </c>
      <c r="U60" s="142" t="inlineStr">
        <is>
          <t>Small culinary quantities contribute few calories.</t>
        </is>
      </c>
      <c r="V60" s="171" t="n">
        <v>46223</v>
      </c>
    </row>
    <row r="61">
      <c r="A61" s="142" t="inlineStr">
        <is>
          <t>ING060</t>
        </is>
      </c>
      <c r="B61" s="142" t="inlineStr">
        <is>
          <t>Water</t>
        </is>
      </c>
      <c r="C61" s="142" t="inlineStr"/>
      <c r="D61" s="142" t="inlineStr">
        <is>
          <t>liquid</t>
        </is>
      </c>
      <c r="E61" s="142" t="inlineStr">
        <is>
          <t>100 ml</t>
        </is>
      </c>
      <c r="F61" s="170" t="n">
        <v>100</v>
      </c>
      <c r="G61" s="170" t="inlineStr">
        <is>
          <t>ml</t>
        </is>
      </c>
      <c r="H61" s="170" t="n">
        <v>1</v>
      </c>
      <c r="I61" s="170" t="n">
        <v>0</v>
      </c>
      <c r="J61" s="170" t="n">
        <v>0</v>
      </c>
      <c r="K61" s="170" t="n">
        <v>0</v>
      </c>
      <c r="L61" s="170" t="n">
        <v>0</v>
      </c>
      <c r="M61" s="170" t="n">
        <v>0</v>
      </c>
      <c r="N61" s="170" t="n">
        <v>0</v>
      </c>
      <c r="O61" s="142" t="inlineStr">
        <is>
          <t>["water", "cold water", "warm water", "boiling water"]</t>
        </is>
      </c>
      <c r="P61" s="142" t="inlineStr">
        <is>
          <t>{"cup": 240, "tbsp": 15, "tsp": 5}</t>
        </is>
      </c>
      <c r="Q61" s="142" t="inlineStr">
        <is>
          <t>Standard value</t>
        </is>
      </c>
      <c r="R61" s="142" t="inlineStr"/>
      <c r="S61" s="142" t="inlineStr"/>
      <c r="T61" s="142" t="b">
        <v>1</v>
      </c>
      <c r="U61" s="142" t="inlineStr">
        <is>
          <t>Zero-calorie water.</t>
        </is>
      </c>
      <c r="V61" s="171" t="n">
        <v>46223</v>
      </c>
    </row>
    <row r="62">
      <c r="A62" s="142" t="inlineStr">
        <is>
          <t>ING061</t>
        </is>
      </c>
      <c r="B62" s="142" t="inlineStr">
        <is>
          <t>Ginger, raw</t>
        </is>
      </c>
      <c r="C62" s="142" t="inlineStr"/>
      <c r="D62" s="142" t="inlineStr">
        <is>
          <t>raw</t>
        </is>
      </c>
      <c r="E62" s="142" t="inlineStr">
        <is>
          <t>100 g</t>
        </is>
      </c>
      <c r="F62" s="170" t="n">
        <v>100</v>
      </c>
      <c r="G62" s="170" t="inlineStr">
        <is>
          <t>g</t>
        </is>
      </c>
      <c r="H62" s="170" t="inlineStr"/>
      <c r="I62" s="170" t="n">
        <v>80</v>
      </c>
      <c r="J62" s="170" t="n">
        <v>1.8</v>
      </c>
      <c r="K62" s="170" t="n">
        <v>17.8</v>
      </c>
      <c r="L62" s="170" t="n">
        <v>0.8</v>
      </c>
      <c r="M62" s="170" t="n">
        <v>2</v>
      </c>
      <c r="N62" s="170" t="n">
        <v>13</v>
      </c>
      <c r="O62" s="142" t="inlineStr">
        <is>
          <t>["ginger", "fresh ginger", "ginger root", "grated ginger", "cm knob of ginger", "ginger knob"]</t>
        </is>
      </c>
      <c r="P62" s="142" t="inlineStr">
        <is>
          <t>{"tbsp": 6, "tsp": 2, "inch": 11, "each": 11}</t>
        </is>
      </c>
      <c r="Q62" s="142" t="inlineStr">
        <is>
          <t>Generic reference – verify</t>
        </is>
      </c>
      <c r="R62" s="142" t="inlineStr"/>
      <c r="S62" s="142" t="inlineStr"/>
      <c r="T62" s="142" t="b">
        <v>0</v>
      </c>
      <c r="U62" s="142" t="inlineStr">
        <is>
          <t>Starter reference value.</t>
        </is>
      </c>
      <c r="V62" s="171" t="n">
        <v>46223</v>
      </c>
    </row>
    <row r="63">
      <c r="A63" s="142" t="inlineStr">
        <is>
          <t>ING062</t>
        </is>
      </c>
      <c r="B63" s="142" t="inlineStr">
        <is>
          <t>Spring onion, raw</t>
        </is>
      </c>
      <c r="C63" s="142" t="inlineStr"/>
      <c r="D63" s="142" t="inlineStr">
        <is>
          <t>raw</t>
        </is>
      </c>
      <c r="E63" s="142" t="inlineStr">
        <is>
          <t>100 g</t>
        </is>
      </c>
      <c r="F63" s="170" t="n">
        <v>100</v>
      </c>
      <c r="G63" s="170" t="inlineStr">
        <is>
          <t>g</t>
        </is>
      </c>
      <c r="H63" s="170" t="inlineStr"/>
      <c r="I63" s="170" t="n">
        <v>32</v>
      </c>
      <c r="J63" s="170" t="n">
        <v>1.8</v>
      </c>
      <c r="K63" s="170" t="n">
        <v>7.3</v>
      </c>
      <c r="L63" s="170" t="n">
        <v>0.2</v>
      </c>
      <c r="M63" s="170" t="n">
        <v>2.6</v>
      </c>
      <c r="N63" s="170" t="n">
        <v>16</v>
      </c>
      <c r="O63" s="142" t="inlineStr">
        <is>
          <t>["spring onion", "spring onions", "green onion", "green onions", "scallion", "scallions"]</t>
        </is>
      </c>
      <c r="P63" s="142" t="inlineStr">
        <is>
          <t>{"each": 15, "bunch": 100, "cup": 100}</t>
        </is>
      </c>
      <c r="Q63" s="142" t="inlineStr">
        <is>
          <t>Generic reference – verify</t>
        </is>
      </c>
      <c r="R63" s="142" t="inlineStr"/>
      <c r="S63" s="142" t="inlineStr"/>
      <c r="T63" s="142" t="b">
        <v>0</v>
      </c>
      <c r="U63" s="142" t="inlineStr">
        <is>
          <t>Starter reference value.</t>
        </is>
      </c>
      <c r="V63" s="171" t="n">
        <v>46223</v>
      </c>
    </row>
    <row r="64">
      <c r="A64" s="142" t="inlineStr">
        <is>
          <t>ING063</t>
        </is>
      </c>
      <c r="B64" s="142" t="inlineStr">
        <is>
          <t>Coriander leaves, raw</t>
        </is>
      </c>
      <c r="C64" s="142" t="inlineStr"/>
      <c r="D64" s="142" t="inlineStr">
        <is>
          <t>raw</t>
        </is>
      </c>
      <c r="E64" s="142" t="inlineStr">
        <is>
          <t>100 g</t>
        </is>
      </c>
      <c r="F64" s="170" t="n">
        <v>100</v>
      </c>
      <c r="G64" s="170" t="inlineStr">
        <is>
          <t>g</t>
        </is>
      </c>
      <c r="H64" s="170" t="inlineStr"/>
      <c r="I64" s="170" t="n">
        <v>23</v>
      </c>
      <c r="J64" s="170" t="n">
        <v>2.1</v>
      </c>
      <c r="K64" s="170" t="n">
        <v>3.7</v>
      </c>
      <c r="L64" s="170" t="n">
        <v>0.5</v>
      </c>
      <c r="M64" s="170" t="n">
        <v>2.8</v>
      </c>
      <c r="N64" s="170" t="n">
        <v>46</v>
      </c>
      <c r="O64" s="142" t="inlineStr">
        <is>
          <t>["coriander", "coriander leaves", "cilantro", "fresh coriander", "cilantro leaves"]</t>
        </is>
      </c>
      <c r="P64" s="142" t="inlineStr">
        <is>
          <t>{"cup": 16, "tbsp": 1, "bunch": 50, "handful": 15}</t>
        </is>
      </c>
      <c r="Q64" s="142" t="inlineStr">
        <is>
          <t>Generic reference – verify</t>
        </is>
      </c>
      <c r="R64" s="142" t="inlineStr"/>
      <c r="S64" s="142" t="inlineStr"/>
      <c r="T64" s="142" t="b">
        <v>0</v>
      </c>
      <c r="U64" s="142" t="inlineStr">
        <is>
          <t>Starter reference value.</t>
        </is>
      </c>
      <c r="V64" s="171" t="n">
        <v>46223</v>
      </c>
    </row>
    <row r="65">
      <c r="A65" s="142" t="inlineStr">
        <is>
          <t>ING064</t>
        </is>
      </c>
      <c r="B65" s="142" t="inlineStr">
        <is>
          <t>Bell pepper, raw</t>
        </is>
      </c>
      <c r="C65" s="142" t="inlineStr"/>
      <c r="D65" s="142" t="inlineStr">
        <is>
          <t>raw</t>
        </is>
      </c>
      <c r="E65" s="142" t="inlineStr">
        <is>
          <t>100 g</t>
        </is>
      </c>
      <c r="F65" s="170" t="n">
        <v>100</v>
      </c>
      <c r="G65" s="170" t="inlineStr">
        <is>
          <t>g</t>
        </is>
      </c>
      <c r="H65" s="170" t="inlineStr"/>
      <c r="I65" s="170" t="n">
        <v>20</v>
      </c>
      <c r="J65" s="170" t="n">
        <v>0.9</v>
      </c>
      <c r="K65" s="170" t="n">
        <v>4.6</v>
      </c>
      <c r="L65" s="170" t="n">
        <v>0.2</v>
      </c>
      <c r="M65" s="170" t="n">
        <v>1.7</v>
      </c>
      <c r="N65" s="170" t="n">
        <v>3</v>
      </c>
      <c r="O65" s="142" t="inlineStr">
        <is>
          <t>["bell pepper", "bell peppers", "capsicum", "capsicums", "green pepper", "red pepper", "yellow pepper", "sweet pepper"]</t>
        </is>
      </c>
      <c r="P65" s="142" t="inlineStr">
        <is>
          <t>{"each": 119, "medium": 119, "small": 74, "large": 164, "cup": 149}</t>
        </is>
      </c>
      <c r="Q65" s="142" t="inlineStr">
        <is>
          <t>Generic reference – verify</t>
        </is>
      </c>
      <c r="R65" s="142" t="inlineStr"/>
      <c r="S65" s="142" t="inlineStr"/>
      <c r="T65" s="142" t="b">
        <v>0</v>
      </c>
      <c r="U65" s="142" t="inlineStr">
        <is>
          <t>Starter reference value; size-based weights are estimates.</t>
        </is>
      </c>
      <c r="V65" s="171" t="n">
        <v>46223</v>
      </c>
    </row>
    <row r="66">
      <c r="A66" s="142" t="inlineStr">
        <is>
          <t>ING065</t>
        </is>
      </c>
      <c r="B66" s="142" t="inlineStr">
        <is>
          <t>Cherry tomatoes, raw</t>
        </is>
      </c>
      <c r="C66" s="142" t="inlineStr"/>
      <c r="D66" s="142" t="inlineStr">
        <is>
          <t>raw</t>
        </is>
      </c>
      <c r="E66" s="142" t="inlineStr">
        <is>
          <t>100 g</t>
        </is>
      </c>
      <c r="F66" s="170" t="n">
        <v>100</v>
      </c>
      <c r="G66" s="170" t="inlineStr">
        <is>
          <t>g</t>
        </is>
      </c>
      <c r="H66" s="170" t="inlineStr"/>
      <c r="I66" s="170" t="n">
        <v>18</v>
      </c>
      <c r="J66" s="170" t="n">
        <v>0.9</v>
      </c>
      <c r="K66" s="170" t="n">
        <v>3.9</v>
      </c>
      <c r="L66" s="170" t="n">
        <v>0.2</v>
      </c>
      <c r="M66" s="170" t="n">
        <v>1.2</v>
      </c>
      <c r="N66" s="170" t="n">
        <v>5</v>
      </c>
      <c r="O66" s="142" t="inlineStr">
        <is>
          <t>["cherry tomato", "cherry tomatoes", "grape tomato", "grape tomatoes", "baby tomatoes"]</t>
        </is>
      </c>
      <c r="P66" s="142" t="inlineStr">
        <is>
          <t>{"each": 17, "cup": 149, "handful": 85}</t>
        </is>
      </c>
      <c r="Q66" s="142" t="inlineStr">
        <is>
          <t>Generic reference – verify</t>
        </is>
      </c>
      <c r="R66" s="142" t="inlineStr"/>
      <c r="S66" s="142" t="inlineStr"/>
      <c r="T66" s="142" t="b">
        <v>0</v>
      </c>
      <c r="U66" s="142" t="inlineStr">
        <is>
          <t>Starter reference value; individual tomato weight is an estimate.</t>
        </is>
      </c>
      <c r="V66" s="171" t="n">
        <v>46223</v>
      </c>
    </row>
    <row r="67">
      <c r="A67" s="142" t="inlineStr">
        <is>
          <t>ING066</t>
        </is>
      </c>
      <c r="B67" s="142" t="inlineStr">
        <is>
          <t>Potato, raw</t>
        </is>
      </c>
      <c r="C67" s="142" t="inlineStr"/>
      <c r="D67" s="142" t="inlineStr">
        <is>
          <t>raw</t>
        </is>
      </c>
      <c r="E67" s="142" t="inlineStr">
        <is>
          <t>100 g</t>
        </is>
      </c>
      <c r="F67" s="170" t="n">
        <v>100</v>
      </c>
      <c r="G67" s="170" t="inlineStr">
        <is>
          <t>g</t>
        </is>
      </c>
      <c r="H67" s="170" t="inlineStr"/>
      <c r="I67" s="170" t="n">
        <v>77</v>
      </c>
      <c r="J67" s="170" t="n">
        <v>2</v>
      </c>
      <c r="K67" s="170" t="n">
        <v>17.5</v>
      </c>
      <c r="L67" s="170" t="n">
        <v>0.1</v>
      </c>
      <c r="M67" s="170" t="n">
        <v>2.1</v>
      </c>
      <c r="N67" s="170" t="n">
        <v>6</v>
      </c>
      <c r="O67" s="142" t="inlineStr">
        <is>
          <t>["potato", "potatoes", "white potato", "white potatoes", "raw potato", "raw potatoes"]</t>
        </is>
      </c>
      <c r="P67" s="142" t="inlineStr">
        <is>
          <t>{"each": 173, "medium": 173, "small": 130, "large": 299, "cup": 150}</t>
        </is>
      </c>
      <c r="Q67" s="142" t="inlineStr">
        <is>
          <t>Generic reference – verify</t>
        </is>
      </c>
      <c r="R67" s="142" t="inlineStr"/>
      <c r="S67" s="142" t="inlineStr"/>
      <c r="T67" s="142" t="b">
        <v>0</v>
      </c>
      <c r="U67" s="142" t="inlineStr">
        <is>
          <t>Starter reference value; size-based weights are estimates.</t>
        </is>
      </c>
      <c r="V67" s="171" t="n">
        <v>46223</v>
      </c>
    </row>
    <row r="68">
      <c r="A68" s="142" t="inlineStr">
        <is>
          <t>ING067</t>
        </is>
      </c>
      <c r="B68" s="142" t="inlineStr">
        <is>
          <t>Celery, raw</t>
        </is>
      </c>
      <c r="C68" s="142" t="inlineStr"/>
      <c r="D68" s="142" t="inlineStr">
        <is>
          <t>raw</t>
        </is>
      </c>
      <c r="E68" s="142" t="inlineStr">
        <is>
          <t>100 g</t>
        </is>
      </c>
      <c r="F68" s="170" t="n">
        <v>100</v>
      </c>
      <c r="G68" s="170" t="inlineStr">
        <is>
          <t>g</t>
        </is>
      </c>
      <c r="H68" s="170" t="inlineStr"/>
      <c r="I68" s="170" t="n">
        <v>14</v>
      </c>
      <c r="J68" s="170" t="n">
        <v>0.7</v>
      </c>
      <c r="K68" s="170" t="n">
        <v>3</v>
      </c>
      <c r="L68" s="170" t="n">
        <v>0.2</v>
      </c>
      <c r="M68" s="170" t="n">
        <v>1.6</v>
      </c>
      <c r="N68" s="170" t="n">
        <v>80</v>
      </c>
      <c r="O68" s="142" t="inlineStr">
        <is>
          <t>["celery", "celery stalk", "celery stalks"]</t>
        </is>
      </c>
      <c r="P68" s="142" t="inlineStr">
        <is>
          <t>{"stalk": 40, "each": 40, "cup": 101}</t>
        </is>
      </c>
      <c r="Q68" s="142" t="inlineStr">
        <is>
          <t>Generic reference – verify</t>
        </is>
      </c>
      <c r="R68" s="142" t="inlineStr"/>
      <c r="S68" s="142" t="inlineStr"/>
      <c r="T68" s="142" t="b">
        <v>0</v>
      </c>
      <c r="U68" s="142" t="inlineStr">
        <is>
          <t>Starter reference value.</t>
        </is>
      </c>
      <c r="V68" s="171" t="n">
        <v>46223</v>
      </c>
    </row>
    <row r="69">
      <c r="A69" s="142" t="inlineStr">
        <is>
          <t>ING068</t>
        </is>
      </c>
      <c r="B69" s="142" t="inlineStr">
        <is>
          <t>Parsley, raw</t>
        </is>
      </c>
      <c r="C69" s="142" t="inlineStr"/>
      <c r="D69" s="142" t="inlineStr">
        <is>
          <t>raw</t>
        </is>
      </c>
      <c r="E69" s="142" t="inlineStr">
        <is>
          <t>100 g</t>
        </is>
      </c>
      <c r="F69" s="170" t="n">
        <v>100</v>
      </c>
      <c r="G69" s="170" t="inlineStr">
        <is>
          <t>g</t>
        </is>
      </c>
      <c r="H69" s="170" t="inlineStr"/>
      <c r="I69" s="170" t="n">
        <v>36</v>
      </c>
      <c r="J69" s="170" t="n">
        <v>3</v>
      </c>
      <c r="K69" s="170" t="n">
        <v>6.3</v>
      </c>
      <c r="L69" s="170" t="n">
        <v>0.8</v>
      </c>
      <c r="M69" s="170" t="n">
        <v>3.3</v>
      </c>
      <c r="N69" s="170" t="n">
        <v>56</v>
      </c>
      <c r="O69" s="142" t="inlineStr">
        <is>
          <t>["parsley", "fresh parsley", "flat leaf parsley", "curly parsley"]</t>
        </is>
      </c>
      <c r="P69" s="142" t="inlineStr">
        <is>
          <t>{"cup": 60, "tbsp": 4, "bunch": 60, "handful": 15, "sprig": 1}</t>
        </is>
      </c>
      <c r="Q69" s="142" t="inlineStr">
        <is>
          <t>Generic reference – verify</t>
        </is>
      </c>
      <c r="R69" s="142" t="inlineStr"/>
      <c r="S69" s="142" t="inlineStr"/>
      <c r="T69" s="142" t="b">
        <v>0</v>
      </c>
      <c r="U69" s="142" t="inlineStr">
        <is>
          <t>Starter reference value; bunch and handful weights are estimates.</t>
        </is>
      </c>
      <c r="V69" s="171" t="n">
        <v>46223</v>
      </c>
    </row>
    <row r="70">
      <c r="A70" s="142" t="inlineStr">
        <is>
          <t>ING069</t>
        </is>
      </c>
      <c r="B70" s="142" t="inlineStr">
        <is>
          <t>Basil, raw</t>
        </is>
      </c>
      <c r="C70" s="142" t="inlineStr"/>
      <c r="D70" s="142" t="inlineStr">
        <is>
          <t>raw</t>
        </is>
      </c>
      <c r="E70" s="142" t="inlineStr">
        <is>
          <t>100 g</t>
        </is>
      </c>
      <c r="F70" s="170" t="n">
        <v>100</v>
      </c>
      <c r="G70" s="170" t="inlineStr">
        <is>
          <t>g</t>
        </is>
      </c>
      <c r="H70" s="170" t="inlineStr"/>
      <c r="I70" s="170" t="n">
        <v>23</v>
      </c>
      <c r="J70" s="170" t="n">
        <v>3.2</v>
      </c>
      <c r="K70" s="170" t="n">
        <v>2.7</v>
      </c>
      <c r="L70" s="170" t="n">
        <v>0.6</v>
      </c>
      <c r="M70" s="170" t="n">
        <v>1.6</v>
      </c>
      <c r="N70" s="170" t="n">
        <v>4</v>
      </c>
      <c r="O70" s="142" t="inlineStr">
        <is>
          <t>["basil", "fresh basil", "basil leaves"]</t>
        </is>
      </c>
      <c r="P70" s="142" t="inlineStr">
        <is>
          <t>{"cup": 24, "tbsp": 2.5, "bunch": 50, "handful": 15, "sprig": 2}</t>
        </is>
      </c>
      <c r="Q70" s="142" t="inlineStr">
        <is>
          <t>Generic reference – verify</t>
        </is>
      </c>
      <c r="R70" s="142" t="inlineStr"/>
      <c r="S70" s="142" t="inlineStr"/>
      <c r="T70" s="142" t="b">
        <v>0</v>
      </c>
      <c r="U70" s="142" t="inlineStr">
        <is>
          <t>Starter reference value; household weights are estimates.</t>
        </is>
      </c>
      <c r="V70" s="171" t="n">
        <v>46223</v>
      </c>
    </row>
    <row r="71">
      <c r="A71" s="142" t="inlineStr">
        <is>
          <t>ING070</t>
        </is>
      </c>
      <c r="B71" s="142" t="inlineStr">
        <is>
          <t>Mint leaves, raw</t>
        </is>
      </c>
      <c r="C71" s="142" t="inlineStr"/>
      <c r="D71" s="142" t="inlineStr">
        <is>
          <t>raw</t>
        </is>
      </c>
      <c r="E71" s="142" t="inlineStr">
        <is>
          <t>100 g</t>
        </is>
      </c>
      <c r="F71" s="170" t="n">
        <v>100</v>
      </c>
      <c r="G71" s="170" t="inlineStr">
        <is>
          <t>g</t>
        </is>
      </c>
      <c r="H71" s="170" t="inlineStr"/>
      <c r="I71" s="170" t="n">
        <v>44</v>
      </c>
      <c r="J71" s="170" t="n">
        <v>3.3</v>
      </c>
      <c r="K71" s="170" t="n">
        <v>8.4</v>
      </c>
      <c r="L71" s="170" t="n">
        <v>0.7</v>
      </c>
      <c r="M71" s="170" t="n">
        <v>6.8</v>
      </c>
      <c r="N71" s="170" t="n">
        <v>31</v>
      </c>
      <c r="O71" s="142" t="inlineStr">
        <is>
          <t>["mint", "fresh mint", "mint leaves"]</t>
        </is>
      </c>
      <c r="P71" s="142" t="inlineStr">
        <is>
          <t>{"cup": 30, "tbsp": 3, "bunch": 50, "handful": 15, "sprig": 2}</t>
        </is>
      </c>
      <c r="Q71" s="142" t="inlineStr">
        <is>
          <t>Generic reference – verify</t>
        </is>
      </c>
      <c r="R71" s="142" t="inlineStr"/>
      <c r="S71" s="142" t="inlineStr"/>
      <c r="T71" s="142" t="b">
        <v>0</v>
      </c>
      <c r="U71" s="142" t="inlineStr">
        <is>
          <t>Starter reference value; household weights are estimates.</t>
        </is>
      </c>
      <c r="V71" s="171" t="n">
        <v>46223</v>
      </c>
    </row>
    <row r="72">
      <c r="A72" s="142" t="inlineStr">
        <is>
          <t>ING071</t>
        </is>
      </c>
      <c r="B72" s="142" t="inlineStr">
        <is>
          <t>Cauliflower, raw</t>
        </is>
      </c>
      <c r="C72" s="142" t="inlineStr"/>
      <c r="D72" s="142" t="inlineStr">
        <is>
          <t>raw</t>
        </is>
      </c>
      <c r="E72" s="142" t="inlineStr">
        <is>
          <t>100 g</t>
        </is>
      </c>
      <c r="F72" s="170" t="n">
        <v>100</v>
      </c>
      <c r="G72" s="170" t="inlineStr">
        <is>
          <t>g</t>
        </is>
      </c>
      <c r="H72" s="170" t="inlineStr"/>
      <c r="I72" s="170" t="n">
        <v>25</v>
      </c>
      <c r="J72" s="170" t="n">
        <v>1.9</v>
      </c>
      <c r="K72" s="170" t="n">
        <v>5</v>
      </c>
      <c r="L72" s="170" t="n">
        <v>0.3</v>
      </c>
      <c r="M72" s="170" t="n">
        <v>2</v>
      </c>
      <c r="N72" s="170" t="n">
        <v>30</v>
      </c>
      <c r="O72" s="142" t="inlineStr">
        <is>
          <t>["cauliflower", "cauliflower florets", "head of cauliflower"]</t>
        </is>
      </c>
      <c r="P72" s="142" t="inlineStr">
        <is>
          <t>{"cup": 107, "head": 575, "each": 575}</t>
        </is>
      </c>
      <c r="Q72" s="142" t="inlineStr">
        <is>
          <t>Generic reference – verify</t>
        </is>
      </c>
      <c r="R72" s="142" t="inlineStr"/>
      <c r="S72" s="142" t="inlineStr"/>
      <c r="T72" s="142" t="b">
        <v>0</v>
      </c>
      <c r="U72" s="142" t="inlineStr">
        <is>
          <t>Starter reference value; head weight is an estimate.</t>
        </is>
      </c>
      <c r="V72" s="171" t="n">
        <v>46223</v>
      </c>
    </row>
    <row r="73">
      <c r="A73" s="142" t="inlineStr">
        <is>
          <t>ING072</t>
        </is>
      </c>
      <c r="B73" s="142" t="inlineStr">
        <is>
          <t>Lettuce, raw</t>
        </is>
      </c>
      <c r="C73" s="142" t="inlineStr"/>
      <c r="D73" s="142" t="inlineStr">
        <is>
          <t>raw</t>
        </is>
      </c>
      <c r="E73" s="142" t="inlineStr">
        <is>
          <t>100 g</t>
        </is>
      </c>
      <c r="F73" s="170" t="n">
        <v>100</v>
      </c>
      <c r="G73" s="170" t="inlineStr">
        <is>
          <t>g</t>
        </is>
      </c>
      <c r="H73" s="170" t="inlineStr"/>
      <c r="I73" s="170" t="n">
        <v>15</v>
      </c>
      <c r="J73" s="170" t="n">
        <v>1.4</v>
      </c>
      <c r="K73" s="170" t="n">
        <v>2.9</v>
      </c>
      <c r="L73" s="170" t="n">
        <v>0.2</v>
      </c>
      <c r="M73" s="170" t="n">
        <v>1.3</v>
      </c>
      <c r="N73" s="170" t="n">
        <v>28</v>
      </c>
      <c r="O73" s="142" t="inlineStr">
        <is>
          <t>["lettuce", "lettuce leaves", "romaine lettuce", "iceberg lettuce"]</t>
        </is>
      </c>
      <c r="P73" s="142" t="inlineStr">
        <is>
          <t>{"cup": 47, "head": 539, "handful": 30}</t>
        </is>
      </c>
      <c r="Q73" s="142" t="inlineStr">
        <is>
          <t>Generic reference – verify</t>
        </is>
      </c>
      <c r="R73" s="142" t="inlineStr"/>
      <c r="S73" s="142" t="inlineStr"/>
      <c r="T73" s="142" t="b">
        <v>0</v>
      </c>
      <c r="U73" s="142" t="inlineStr">
        <is>
          <t>Starter reference value; head weight varies by variety.</t>
        </is>
      </c>
      <c r="V73" s="171" t="n">
        <v>46223</v>
      </c>
    </row>
    <row r="74">
      <c r="A74" s="142" t="inlineStr">
        <is>
          <t>ING073</t>
        </is>
      </c>
      <c r="B74" s="142" t="inlineStr">
        <is>
          <t>Cabbage, raw</t>
        </is>
      </c>
      <c r="C74" s="142" t="inlineStr"/>
      <c r="D74" s="142" t="inlineStr">
        <is>
          <t>raw</t>
        </is>
      </c>
      <c r="E74" s="142" t="inlineStr">
        <is>
          <t>100 g</t>
        </is>
      </c>
      <c r="F74" s="170" t="n">
        <v>100</v>
      </c>
      <c r="G74" s="170" t="inlineStr">
        <is>
          <t>g</t>
        </is>
      </c>
      <c r="H74" s="170" t="inlineStr"/>
      <c r="I74" s="170" t="n">
        <v>25</v>
      </c>
      <c r="J74" s="170" t="n">
        <v>1.3</v>
      </c>
      <c r="K74" s="170" t="n">
        <v>5.8</v>
      </c>
      <c r="L74" s="170" t="n">
        <v>0.1</v>
      </c>
      <c r="M74" s="170" t="n">
        <v>2.5</v>
      </c>
      <c r="N74" s="170" t="n">
        <v>18</v>
      </c>
      <c r="O74" s="142" t="inlineStr">
        <is>
          <t>["cabbage", "red cabbage", "white cabbage", "green cabbage", "shredded cabbage"]</t>
        </is>
      </c>
      <c r="P74" s="142" t="inlineStr">
        <is>
          <t>{"cup": 89, "head": 908}</t>
        </is>
      </c>
      <c r="Q74" s="142" t="inlineStr">
        <is>
          <t>Generic reference – verify</t>
        </is>
      </c>
      <c r="R74" s="142" t="inlineStr"/>
      <c r="S74" s="142" t="inlineStr"/>
      <c r="T74" s="142" t="b">
        <v>0</v>
      </c>
      <c r="U74" s="142" t="inlineStr">
        <is>
          <t>Starter reference value; head weight is an estimate.</t>
        </is>
      </c>
      <c r="V74" s="171" t="n">
        <v>46223</v>
      </c>
    </row>
    <row r="75">
      <c r="A75" s="142" t="inlineStr">
        <is>
          <t>ING074</t>
        </is>
      </c>
      <c r="B75" s="142" t="inlineStr">
        <is>
          <t>Jalapeño pepper, raw</t>
        </is>
      </c>
      <c r="C75" s="142" t="inlineStr"/>
      <c r="D75" s="142" t="inlineStr">
        <is>
          <t>raw</t>
        </is>
      </c>
      <c r="E75" s="142" t="inlineStr">
        <is>
          <t>100 g</t>
        </is>
      </c>
      <c r="F75" s="170" t="n">
        <v>100</v>
      </c>
      <c r="G75" s="170" t="inlineStr">
        <is>
          <t>g</t>
        </is>
      </c>
      <c r="H75" s="170" t="inlineStr"/>
      <c r="I75" s="170" t="n">
        <v>29</v>
      </c>
      <c r="J75" s="170" t="n">
        <v>0.9</v>
      </c>
      <c r="K75" s="170" t="n">
        <v>6.5</v>
      </c>
      <c r="L75" s="170" t="n">
        <v>0.4</v>
      </c>
      <c r="M75" s="170" t="n">
        <v>2.8</v>
      </c>
      <c r="N75" s="170" t="n">
        <v>3</v>
      </c>
      <c r="O75" s="142" t="inlineStr">
        <is>
          <t>["jalapeno", "jalapeño", "jalapeno pepper", "green chili", "green chilli", "chili pepper", "chilli pepper"]</t>
        </is>
      </c>
      <c r="P75" s="142" t="inlineStr">
        <is>
          <t>{"each": 14, "medium": 14, "small": 10, "large": 20, "cup": 90}</t>
        </is>
      </c>
      <c r="Q75" s="142" t="inlineStr">
        <is>
          <t>Generic reference – verify</t>
        </is>
      </c>
      <c r="R75" s="142" t="inlineStr"/>
      <c r="S75" s="142" t="inlineStr"/>
      <c r="T75" s="142" t="b">
        <v>0</v>
      </c>
      <c r="U75" s="142" t="inlineStr">
        <is>
          <t>Starter reference value.</t>
        </is>
      </c>
      <c r="V75" s="171" t="n">
        <v>46223</v>
      </c>
    </row>
    <row r="76">
      <c r="A76" s="142" t="inlineStr">
        <is>
          <t>ING075</t>
        </is>
      </c>
      <c r="B76" s="142" t="inlineStr">
        <is>
          <t>Orange, raw</t>
        </is>
      </c>
      <c r="C76" s="142" t="inlineStr"/>
      <c r="D76" s="142" t="inlineStr">
        <is>
          <t>raw</t>
        </is>
      </c>
      <c r="E76" s="142" t="inlineStr">
        <is>
          <t>100 g</t>
        </is>
      </c>
      <c r="F76" s="170" t="n">
        <v>100</v>
      </c>
      <c r="G76" s="170" t="inlineStr">
        <is>
          <t>g</t>
        </is>
      </c>
      <c r="H76" s="170" t="inlineStr"/>
      <c r="I76" s="170" t="n">
        <v>47</v>
      </c>
      <c r="J76" s="170" t="n">
        <v>0.9</v>
      </c>
      <c r="K76" s="170" t="n">
        <v>11.8</v>
      </c>
      <c r="L76" s="170" t="n">
        <v>0.1</v>
      </c>
      <c r="M76" s="170" t="n">
        <v>2.4</v>
      </c>
      <c r="N76" s="170" t="n">
        <v>0</v>
      </c>
      <c r="O76" s="142" t="inlineStr">
        <is>
          <t>["orange", "oranges", "orange juice from fruit"]</t>
        </is>
      </c>
      <c r="P76" s="142" t="inlineStr">
        <is>
          <t>{"each": 131, "medium": 131, "small": 96, "large": 184, "cup": 180}</t>
        </is>
      </c>
      <c r="Q76" s="142" t="inlineStr">
        <is>
          <t>Generic reference – verify</t>
        </is>
      </c>
      <c r="R76" s="142" t="inlineStr"/>
      <c r="S76" s="142" t="inlineStr"/>
      <c r="T76" s="142" t="b">
        <v>0</v>
      </c>
      <c r="U76" s="142" t="inlineStr">
        <is>
          <t>Starter reference value.</t>
        </is>
      </c>
      <c r="V76" s="171" t="n">
        <v>46223</v>
      </c>
    </row>
    <row r="77">
      <c r="A77" s="142" t="inlineStr">
        <is>
          <t>ING076</t>
        </is>
      </c>
      <c r="B77" s="142" t="inlineStr">
        <is>
          <t>Tortilla wrap</t>
        </is>
      </c>
      <c r="C77" s="142" t="inlineStr"/>
      <c r="D77" s="142" t="inlineStr">
        <is>
          <t>packaged</t>
        </is>
      </c>
      <c r="E77" s="142" t="inlineStr">
        <is>
          <t>1 each</t>
        </is>
      </c>
      <c r="F77" s="170" t="n">
        <v>1</v>
      </c>
      <c r="G77" s="170" t="inlineStr">
        <is>
          <t>each</t>
        </is>
      </c>
      <c r="H77" s="170" t="inlineStr"/>
      <c r="I77" s="170" t="n">
        <v>140</v>
      </c>
      <c r="J77" s="170" t="n">
        <v>4</v>
      </c>
      <c r="K77" s="170" t="n">
        <v>24</v>
      </c>
      <c r="L77" s="170" t="n">
        <v>3</v>
      </c>
      <c r="M77" s="170" t="n">
        <v>2</v>
      </c>
      <c r="N77" s="170" t="n">
        <v>300</v>
      </c>
      <c r="O77" s="142" t="inlineStr">
        <is>
          <t>["tortilla", "tortilla wrap", "wrap", "flour tortilla"]</t>
        </is>
      </c>
      <c r="P77" s="142" t="inlineStr">
        <is>
          <t>{"each": 45}</t>
        </is>
      </c>
      <c r="Q77" s="142" t="inlineStr">
        <is>
          <t>Generic reference – verify</t>
        </is>
      </c>
      <c r="R77" s="142" t="inlineStr"/>
      <c r="S77" s="142" t="inlineStr"/>
      <c r="T77" s="142" t="b">
        <v>0</v>
      </c>
      <c r="U77" s="142" t="inlineStr">
        <is>
          <t>Representative medium wrap; replace with the package label.</t>
        </is>
      </c>
      <c r="V77" s="171" t="n">
        <v>46223</v>
      </c>
    </row>
    <row r="78">
      <c r="A78" s="142" t="inlineStr">
        <is>
          <t>ING077</t>
        </is>
      </c>
      <c r="B78" s="142" t="inlineStr">
        <is>
          <t>Breadcrumbs, dry</t>
        </is>
      </c>
      <c r="C78" s="142" t="inlineStr"/>
      <c r="D78" s="142" t="inlineStr">
        <is>
          <t>dry</t>
        </is>
      </c>
      <c r="E78" s="142" t="inlineStr">
        <is>
          <t>100 g</t>
        </is>
      </c>
      <c r="F78" s="170" t="n">
        <v>100</v>
      </c>
      <c r="G78" s="170" t="inlineStr">
        <is>
          <t>g</t>
        </is>
      </c>
      <c r="H78" s="170" t="inlineStr"/>
      <c r="I78" s="170" t="n">
        <v>395</v>
      </c>
      <c r="J78" s="170" t="n">
        <v>13.4</v>
      </c>
      <c r="K78" s="170" t="n">
        <v>71.90000000000001</v>
      </c>
      <c r="L78" s="170" t="n">
        <v>5.3</v>
      </c>
      <c r="M78" s="170" t="n">
        <v>4.5</v>
      </c>
      <c r="N78" s="170" t="n">
        <v>732</v>
      </c>
      <c r="O78" s="142" t="inlineStr">
        <is>
          <t>["breadcrumbs", "bread crumbs", "dry breadcrumbs", "panko"]</t>
        </is>
      </c>
      <c r="P78" s="142" t="inlineStr">
        <is>
          <t>{"cup": 108, "tbsp": 7}</t>
        </is>
      </c>
      <c r="Q78" s="142" t="inlineStr">
        <is>
          <t>Generic reference – verify</t>
        </is>
      </c>
      <c r="R78" s="142" t="inlineStr"/>
      <c r="S78" s="142" t="inlineStr"/>
      <c r="T78" s="142" t="b">
        <v>0</v>
      </c>
      <c r="U78" s="142" t="inlineStr">
        <is>
          <t>Starter reference value.</t>
        </is>
      </c>
      <c r="V78" s="171" t="n">
        <v>46223</v>
      </c>
    </row>
    <row r="79">
      <c r="A79" s="142" t="inlineStr">
        <is>
          <t>ING078</t>
        </is>
      </c>
      <c r="B79" s="142" t="inlineStr">
        <is>
          <t>Semolina, dry</t>
        </is>
      </c>
      <c r="C79" s="142" t="inlineStr"/>
      <c r="D79" s="142" t="inlineStr">
        <is>
          <t>dry</t>
        </is>
      </c>
      <c r="E79" s="142" t="inlineStr">
        <is>
          <t>100 g</t>
        </is>
      </c>
      <c r="F79" s="170" t="n">
        <v>100</v>
      </c>
      <c r="G79" s="170" t="inlineStr">
        <is>
          <t>g</t>
        </is>
      </c>
      <c r="H79" s="170" t="inlineStr"/>
      <c r="I79" s="170" t="n">
        <v>360</v>
      </c>
      <c r="J79" s="170" t="n">
        <v>12.7</v>
      </c>
      <c r="K79" s="170" t="n">
        <v>72.8</v>
      </c>
      <c r="L79" s="170" t="n">
        <v>1.1</v>
      </c>
      <c r="M79" s="170" t="n">
        <v>3.9</v>
      </c>
      <c r="N79" s="170" t="n">
        <v>1</v>
      </c>
      <c r="O79" s="142" t="inlineStr">
        <is>
          <t>["semolina", "semolina flour", "durum semolina"]</t>
        </is>
      </c>
      <c r="P79" s="142" t="inlineStr">
        <is>
          <t>{"cup": 167, "tbsp": 10.4}</t>
        </is>
      </c>
      <c r="Q79" s="142" t="inlineStr">
        <is>
          <t>Generic reference – verify</t>
        </is>
      </c>
      <c r="R79" s="142" t="inlineStr"/>
      <c r="S79" s="142" t="inlineStr"/>
      <c r="T79" s="142" t="b">
        <v>0</v>
      </c>
      <c r="U79" s="142" t="inlineStr">
        <is>
          <t>Starter reference value.</t>
        </is>
      </c>
      <c r="V79" s="171" t="n">
        <v>46223</v>
      </c>
    </row>
    <row r="80">
      <c r="A80" s="142" t="inlineStr">
        <is>
          <t>ING079</t>
        </is>
      </c>
      <c r="B80" s="142" t="inlineStr">
        <is>
          <t>Beef stock cube</t>
        </is>
      </c>
      <c r="C80" s="142" t="inlineStr"/>
      <c r="D80" s="142" t="inlineStr">
        <is>
          <t>packaged</t>
        </is>
      </c>
      <c r="E80" s="142" t="inlineStr">
        <is>
          <t>1 cube</t>
        </is>
      </c>
      <c r="F80" s="170" t="n">
        <v>1</v>
      </c>
      <c r="G80" s="170" t="inlineStr">
        <is>
          <t>each</t>
        </is>
      </c>
      <c r="H80" s="170" t="inlineStr"/>
      <c r="I80" s="170" t="n">
        <v>20</v>
      </c>
      <c r="J80" s="170" t="n">
        <v>1</v>
      </c>
      <c r="K80" s="170" t="n">
        <v>2</v>
      </c>
      <c r="L80" s="170" t="n">
        <v>1</v>
      </c>
      <c r="M80" s="170" t="n">
        <v>0</v>
      </c>
      <c r="N80" s="170" t="n">
        <v>1000</v>
      </c>
      <c r="O80" s="142" t="inlineStr">
        <is>
          <t>["beef stock cube", "beef bouillon cube", "stock cube", "bouillon cube"]</t>
        </is>
      </c>
      <c r="P80" s="142" t="inlineStr">
        <is>
          <t>{"each": 10, "cube": 10}</t>
        </is>
      </c>
      <c r="Q80" s="142" t="inlineStr">
        <is>
          <t>Generic reference – verify</t>
        </is>
      </c>
      <c r="R80" s="142" t="inlineStr"/>
      <c r="S80" s="142" t="inlineStr"/>
      <c r="T80" s="142" t="b">
        <v>0</v>
      </c>
      <c r="U80" s="142" t="inlineStr">
        <is>
          <t>Varies greatly by brand; replace with the package label.</t>
        </is>
      </c>
      <c r="V80" s="171" t="n">
        <v>46223</v>
      </c>
    </row>
    <row r="81">
      <c r="A81" s="142" t="inlineStr">
        <is>
          <t>ING080</t>
        </is>
      </c>
      <c r="B81" s="142" t="inlineStr">
        <is>
          <t>Chicken thigh, raw</t>
        </is>
      </c>
      <c r="C81" s="142" t="inlineStr"/>
      <c r="D81" s="142" t="inlineStr">
        <is>
          <t>raw</t>
        </is>
      </c>
      <c r="E81" s="142" t="inlineStr">
        <is>
          <t>100 g</t>
        </is>
      </c>
      <c r="F81" s="170" t="n">
        <v>100</v>
      </c>
      <c r="G81" s="170" t="inlineStr">
        <is>
          <t>g</t>
        </is>
      </c>
      <c r="H81" s="170" t="inlineStr"/>
      <c r="I81" s="170" t="n">
        <v>177</v>
      </c>
      <c r="J81" s="170" t="n">
        <v>24</v>
      </c>
      <c r="K81" s="170" t="n">
        <v>0</v>
      </c>
      <c r="L81" s="170" t="n">
        <v>8</v>
      </c>
      <c r="M81" s="170" t="n">
        <v>0</v>
      </c>
      <c r="N81" s="170" t="n">
        <v>84</v>
      </c>
      <c r="O81" s="142" t="inlineStr">
        <is>
          <t>["chicken thigh", "chicken thighs", "boneless chicken thigh", "boneless chicken thighs"]</t>
        </is>
      </c>
      <c r="P81" s="142" t="inlineStr">
        <is>
          <t>{"each": 116, "thigh": 116}</t>
        </is>
      </c>
      <c r="Q81" s="142" t="inlineStr">
        <is>
          <t>Generic reference – verify</t>
        </is>
      </c>
      <c r="R81" s="142" t="inlineStr"/>
      <c r="S81" s="142" t="inlineStr"/>
      <c r="T81" s="142" t="b">
        <v>0</v>
      </c>
      <c r="U81" s="142" t="inlineStr">
        <is>
          <t>Representative boneless raw thigh; individual pieces vary.</t>
        </is>
      </c>
      <c r="V81" s="171" t="n">
        <v>46223</v>
      </c>
    </row>
    <row r="82">
      <c r="A82" s="142" t="inlineStr">
        <is>
          <t>ING081</t>
        </is>
      </c>
      <c r="B82" s="142" t="inlineStr">
        <is>
          <t>Shrimp, cooked</t>
        </is>
      </c>
      <c r="C82" s="142" t="inlineStr"/>
      <c r="D82" s="142" t="inlineStr">
        <is>
          <t>cooked</t>
        </is>
      </c>
      <c r="E82" s="142" t="inlineStr">
        <is>
          <t>100 g</t>
        </is>
      </c>
      <c r="F82" s="170" t="n">
        <v>100</v>
      </c>
      <c r="G82" s="170" t="inlineStr">
        <is>
          <t>g</t>
        </is>
      </c>
      <c r="H82" s="170" t="inlineStr"/>
      <c r="I82" s="170" t="n">
        <v>99</v>
      </c>
      <c r="J82" s="170" t="n">
        <v>24</v>
      </c>
      <c r="K82" s="170" t="n">
        <v>0.2</v>
      </c>
      <c r="L82" s="170" t="n">
        <v>0.3</v>
      </c>
      <c r="M82" s="170" t="n">
        <v>0</v>
      </c>
      <c r="N82" s="170" t="n">
        <v>111</v>
      </c>
      <c r="O82" s="142" t="inlineStr">
        <is>
          <t>["shrimp", "shrimps", "prawn", "prawns", "cooked shrimp", "cooked prawns"]</t>
        </is>
      </c>
      <c r="P82" s="142" t="inlineStr">
        <is>
          <t>{"each": 8, "medium": 8, "large": 12, "cup": 145}</t>
        </is>
      </c>
      <c r="Q82" s="142" t="inlineStr">
        <is>
          <t>Generic reference – verify</t>
        </is>
      </c>
      <c r="R82" s="142" t="inlineStr"/>
      <c r="S82" s="142" t="inlineStr"/>
      <c r="T82" s="142" t="b">
        <v>0</v>
      </c>
      <c r="U82" s="142" t="inlineStr">
        <is>
          <t>Individual weights vary by count size.</t>
        </is>
      </c>
      <c r="V82" s="171" t="n">
        <v>46223</v>
      </c>
    </row>
    <row r="83">
      <c r="A83" s="142" t="inlineStr">
        <is>
          <t>ING082</t>
        </is>
      </c>
      <c r="B83" s="142" t="inlineStr">
        <is>
          <t>Castelvetrano olives, drained</t>
        </is>
      </c>
      <c r="C83" s="142" t="inlineStr"/>
      <c r="D83" s="142" t="inlineStr">
        <is>
          <t>drained</t>
        </is>
      </c>
      <c r="E83" s="142" t="inlineStr">
        <is>
          <t>100 g</t>
        </is>
      </c>
      <c r="F83" s="170" t="n">
        <v>100</v>
      </c>
      <c r="G83" s="170" t="inlineStr">
        <is>
          <t>g</t>
        </is>
      </c>
      <c r="H83" s="170" t="inlineStr"/>
      <c r="I83" s="170" t="n">
        <v>145</v>
      </c>
      <c r="J83" s="170" t="n">
        <v>1</v>
      </c>
      <c r="K83" s="170" t="n">
        <v>4</v>
      </c>
      <c r="L83" s="170" t="n">
        <v>15</v>
      </c>
      <c r="M83" s="170" t="n">
        <v>3</v>
      </c>
      <c r="N83" s="170" t="n">
        <v>1556</v>
      </c>
      <c r="O83" s="142" t="inlineStr">
        <is>
          <t>["castelvetrano olives", "green olives", "pitted olives", "olives"]</t>
        </is>
      </c>
      <c r="P83" s="142" t="inlineStr">
        <is>
          <t>{"cup": 134, "each": 4}</t>
        </is>
      </c>
      <c r="Q83" s="142" t="inlineStr">
        <is>
          <t>Generic reference – verify</t>
        </is>
      </c>
      <c r="R83" s="142" t="inlineStr"/>
      <c r="S83" s="142" t="inlineStr"/>
      <c r="T83" s="142" t="b">
        <v>0</v>
      </c>
      <c r="U83" s="142" t="inlineStr">
        <is>
          <t>Generic reference estimate; verify against the product label or a confirmed food-composition record.</t>
        </is>
      </c>
      <c r="V83" s="171" t="n">
        <v>46223.89583333334</v>
      </c>
    </row>
    <row r="84">
      <c r="A84" s="142" t="inlineStr">
        <is>
          <t>ING083</t>
        </is>
      </c>
      <c r="B84" s="142" t="inlineStr">
        <is>
          <t>Burrata cheese</t>
        </is>
      </c>
      <c r="C84" s="142" t="inlineStr"/>
      <c r="D84" s="142" t="inlineStr">
        <is>
          <t>packaged</t>
        </is>
      </c>
      <c r="E84" s="142" t="inlineStr">
        <is>
          <t>100 g</t>
        </is>
      </c>
      <c r="F84" s="170" t="n">
        <v>100</v>
      </c>
      <c r="G84" s="170" t="inlineStr">
        <is>
          <t>g</t>
        </is>
      </c>
      <c r="H84" s="170" t="inlineStr"/>
      <c r="I84" s="170" t="n">
        <v>300</v>
      </c>
      <c r="J84" s="170" t="n">
        <v>12</v>
      </c>
      <c r="K84" s="170" t="n">
        <v>2</v>
      </c>
      <c r="L84" s="170" t="n">
        <v>26</v>
      </c>
      <c r="M84" s="170" t="n">
        <v>0</v>
      </c>
      <c r="N84" s="170" t="n">
        <v>300</v>
      </c>
      <c r="O84" s="142" t="inlineStr">
        <is>
          <t>["burrata", "burrata balls", "burrata cheese balls"]</t>
        </is>
      </c>
      <c r="P84" s="142" t="inlineStr">
        <is>
          <t>{"ball": 125, "each": 125}</t>
        </is>
      </c>
      <c r="Q84" s="142" t="inlineStr">
        <is>
          <t>Generic reference – verify</t>
        </is>
      </c>
      <c r="R84" s="142" t="inlineStr"/>
      <c r="S84" s="142" t="inlineStr"/>
      <c r="T84" s="142" t="b">
        <v>0</v>
      </c>
      <c r="U84" s="142" t="inlineStr">
        <is>
          <t>Generic reference estimate; verify against the product label or a confirmed food-composition record.</t>
        </is>
      </c>
      <c r="V84" s="171" t="n">
        <v>46223.89583333334</v>
      </c>
    </row>
    <row r="85">
      <c r="A85" s="142" t="inlineStr">
        <is>
          <t>ING084</t>
        </is>
      </c>
      <c r="B85" s="142" t="inlineStr">
        <is>
          <t>Ciabatta bread</t>
        </is>
      </c>
      <c r="C85" s="142" t="inlineStr"/>
      <c r="D85" s="142" t="inlineStr">
        <is>
          <t>baked</t>
        </is>
      </c>
      <c r="E85" s="142" t="inlineStr">
        <is>
          <t>100 g</t>
        </is>
      </c>
      <c r="F85" s="170" t="n">
        <v>100</v>
      </c>
      <c r="G85" s="170" t="inlineStr">
        <is>
          <t>g</t>
        </is>
      </c>
      <c r="H85" s="170" t="inlineStr"/>
      <c r="I85" s="170" t="n">
        <v>271</v>
      </c>
      <c r="J85" s="170" t="n">
        <v>9</v>
      </c>
      <c r="K85" s="170" t="n">
        <v>52</v>
      </c>
      <c r="L85" s="170" t="n">
        <v>4</v>
      </c>
      <c r="M85" s="170" t="n">
        <v>2.5</v>
      </c>
      <c r="N85" s="170" t="n">
        <v>550</v>
      </c>
      <c r="O85" s="142" t="inlineStr">
        <is>
          <t>["ciabatta", "ciabatta loaf", "loaf of ciabatta"]</t>
        </is>
      </c>
      <c r="P85" s="142" t="inlineStr">
        <is>
          <t>{"slice": 45, "loaf": 397, "each": 397}</t>
        </is>
      </c>
      <c r="Q85" s="142" t="inlineStr">
        <is>
          <t>Generic reference – verify</t>
        </is>
      </c>
      <c r="R85" s="142" t="inlineStr"/>
      <c r="S85" s="142" t="inlineStr"/>
      <c r="T85" s="142" t="b">
        <v>0</v>
      </c>
      <c r="U85" s="142" t="inlineStr">
        <is>
          <t>Generic reference estimate; verify against the product label or a confirmed food-composition record.</t>
        </is>
      </c>
      <c r="V85" s="171" t="n">
        <v>46223.89583333334</v>
      </c>
    </row>
    <row r="86">
      <c r="A86" s="142" t="inlineStr">
        <is>
          <t>ING085</t>
        </is>
      </c>
      <c r="B86" s="142" t="inlineStr">
        <is>
          <t>Oregano, fresh</t>
        </is>
      </c>
      <c r="C86" s="142" t="inlineStr"/>
      <c r="D86" s="142" t="inlineStr">
        <is>
          <t>raw</t>
        </is>
      </c>
      <c r="E86" s="142" t="inlineStr">
        <is>
          <t>100 g</t>
        </is>
      </c>
      <c r="F86" s="170" t="n">
        <v>100</v>
      </c>
      <c r="G86" s="170" t="inlineStr">
        <is>
          <t>g</t>
        </is>
      </c>
      <c r="H86" s="170" t="inlineStr"/>
      <c r="I86" s="170" t="n">
        <v>44</v>
      </c>
      <c r="J86" s="170" t="n">
        <v>3</v>
      </c>
      <c r="K86" s="170" t="n">
        <v>9</v>
      </c>
      <c r="L86" s="170" t="n">
        <v>1</v>
      </c>
      <c r="M86" s="170" t="n">
        <v>4</v>
      </c>
      <c r="N86" s="170" t="n">
        <v>25</v>
      </c>
      <c r="O86" s="142" t="inlineStr">
        <is>
          <t>["fresh oregano", "oregano leaves", "oregano"]</t>
        </is>
      </c>
      <c r="P86" s="142" t="inlineStr">
        <is>
          <t>{"tsp": 1, "tbsp": 3, "cup": 30, "sprig": 1}</t>
        </is>
      </c>
      <c r="Q86" s="142" t="inlineStr">
        <is>
          <t>Generic reference – verify</t>
        </is>
      </c>
      <c r="R86" s="142" t="inlineStr"/>
      <c r="S86" s="142" t="inlineStr"/>
      <c r="T86" s="142" t="b">
        <v>0</v>
      </c>
      <c r="U86" s="142" t="inlineStr">
        <is>
          <t>Generic reference estimate; verify against the product label or a confirmed food-composition record.</t>
        </is>
      </c>
      <c r="V86" s="171" t="n">
        <v>46223.89583333334</v>
      </c>
    </row>
    <row r="87">
      <c r="A87" s="142" t="inlineStr">
        <is>
          <t>ING086</t>
        </is>
      </c>
      <c r="B87" s="142" t="inlineStr">
        <is>
          <t>Lemon zest</t>
        </is>
      </c>
      <c r="C87" s="142" t="inlineStr"/>
      <c r="D87" s="142" t="inlineStr">
        <is>
          <t>raw</t>
        </is>
      </c>
      <c r="E87" s="142" t="inlineStr">
        <is>
          <t>100 g</t>
        </is>
      </c>
      <c r="F87" s="170" t="n">
        <v>100</v>
      </c>
      <c r="G87" s="170" t="inlineStr">
        <is>
          <t>g</t>
        </is>
      </c>
      <c r="H87" s="170" t="inlineStr"/>
      <c r="I87" s="170" t="n">
        <v>47</v>
      </c>
      <c r="J87" s="170" t="n">
        <v>1.5</v>
      </c>
      <c r="K87" s="170" t="n">
        <v>16</v>
      </c>
      <c r="L87" s="170" t="n">
        <v>0.3</v>
      </c>
      <c r="M87" s="170" t="n">
        <v>10.6</v>
      </c>
      <c r="N87" s="170" t="n">
        <v>6</v>
      </c>
      <c r="O87" s="142" t="inlineStr">
        <is>
          <t>["lemon peel", "zest of lemon", "lemon rind"]</t>
        </is>
      </c>
      <c r="P87" s="142" t="inlineStr">
        <is>
          <t>{"tsp": 2, "tbsp": 6, "lemon": 6, "each": 6}</t>
        </is>
      </c>
      <c r="Q87" s="142" t="inlineStr">
        <is>
          <t>Generic reference – verify</t>
        </is>
      </c>
      <c r="R87" s="142" t="inlineStr"/>
      <c r="S87" s="142" t="inlineStr"/>
      <c r="T87" s="142" t="b">
        <v>0</v>
      </c>
      <c r="U87" s="142" t="inlineStr">
        <is>
          <t>Generic reference estimate; verify against the product label or a confirmed food-composition record.</t>
        </is>
      </c>
      <c r="V87" s="171" t="n">
        <v>46223.89583333334</v>
      </c>
    </row>
    <row r="88">
      <c r="A88" s="142" t="inlineStr">
        <is>
          <t>ING087</t>
        </is>
      </c>
      <c r="B88" s="142" t="inlineStr">
        <is>
          <t>Graham crackers</t>
        </is>
      </c>
      <c r="C88" s="142" t="inlineStr"/>
      <c r="D88" s="142" t="inlineStr">
        <is>
          <t>packaged</t>
        </is>
      </c>
      <c r="E88" s="142" t="inlineStr">
        <is>
          <t>100 g</t>
        </is>
      </c>
      <c r="F88" s="170" t="n">
        <v>100</v>
      </c>
      <c r="G88" s="170" t="inlineStr">
        <is>
          <t>g</t>
        </is>
      </c>
      <c r="H88" s="170" t="inlineStr"/>
      <c r="I88" s="170" t="n">
        <v>430</v>
      </c>
      <c r="J88" s="170" t="n">
        <v>7</v>
      </c>
      <c r="K88" s="170" t="n">
        <v>77</v>
      </c>
      <c r="L88" s="170" t="n">
        <v>10</v>
      </c>
      <c r="M88" s="170" t="n">
        <v>3</v>
      </c>
      <c r="N88" s="170" t="n">
        <v>650</v>
      </c>
      <c r="O88" s="142" t="inlineStr">
        <is>
          <t>["graham cracker", "graham crackers", "digestive biscuit crumbs", "graham cracker crumbs"]</t>
        </is>
      </c>
      <c r="P88" s="142" t="inlineStr">
        <is>
          <t>{"sheet": 15.5, "full sheet": 15.5, "cup": 100, "each": 15.5}</t>
        </is>
      </c>
      <c r="Q88" s="142" t="inlineStr">
        <is>
          <t>Generic reference – verify</t>
        </is>
      </c>
      <c r="R88" s="142" t="inlineStr"/>
      <c r="S88" s="142" t="inlineStr"/>
      <c r="T88" s="142" t="b">
        <v>0</v>
      </c>
      <c r="U88" s="142" t="inlineStr">
        <is>
          <t>Generic reference estimate; verify against the product label or a confirmed food-composition record.</t>
        </is>
      </c>
      <c r="V88" s="171" t="n">
        <v>46223.89583333334</v>
      </c>
    </row>
    <row r="89">
      <c r="A89" s="142" t="inlineStr">
        <is>
          <t>ING088</t>
        </is>
      </c>
      <c r="B89" s="142" t="inlineStr">
        <is>
          <t>Cornstarch</t>
        </is>
      </c>
      <c r="C89" s="142" t="inlineStr"/>
      <c r="D89" s="142" t="inlineStr">
        <is>
          <t>dry</t>
        </is>
      </c>
      <c r="E89" s="142" t="inlineStr">
        <is>
          <t>100 g</t>
        </is>
      </c>
      <c r="F89" s="170" t="n">
        <v>100</v>
      </c>
      <c r="G89" s="170" t="inlineStr">
        <is>
          <t>g</t>
        </is>
      </c>
      <c r="H89" s="170" t="inlineStr"/>
      <c r="I89" s="170" t="n">
        <v>381</v>
      </c>
      <c r="J89" s="170" t="n">
        <v>0.3</v>
      </c>
      <c r="K89" s="170" t="n">
        <v>91</v>
      </c>
      <c r="L89" s="170" t="n">
        <v>0.1</v>
      </c>
      <c r="M89" s="170" t="n">
        <v>0.9</v>
      </c>
      <c r="N89" s="170" t="n">
        <v>9</v>
      </c>
      <c r="O89" s="142" t="inlineStr">
        <is>
          <t>["corn starch", "cornflour"]</t>
        </is>
      </c>
      <c r="P89" s="142" t="inlineStr">
        <is>
          <t>{"tbsp": 8, "tsp": 2.7, "cup": 128}</t>
        </is>
      </c>
      <c r="Q89" s="142" t="inlineStr">
        <is>
          <t>Generic reference – verify</t>
        </is>
      </c>
      <c r="R89" s="142" t="inlineStr"/>
      <c r="S89" s="142" t="inlineStr"/>
      <c r="T89" s="142" t="b">
        <v>0</v>
      </c>
      <c r="U89" s="142" t="inlineStr">
        <is>
          <t>Generic reference estimate; verify against the product label or a confirmed food-composition record.</t>
        </is>
      </c>
      <c r="V89" s="171" t="n">
        <v>46223.89583333334</v>
      </c>
    </row>
    <row r="90">
      <c r="A90" s="142" t="inlineStr">
        <is>
          <t>ING089</t>
        </is>
      </c>
      <c r="B90" s="142" t="inlineStr">
        <is>
          <t>Strawberry gelatin dessert powder</t>
        </is>
      </c>
      <c r="C90" s="142" t="inlineStr"/>
      <c r="D90" s="142" t="inlineStr">
        <is>
          <t>dry</t>
        </is>
      </c>
      <c r="E90" s="142" t="inlineStr">
        <is>
          <t>100 g</t>
        </is>
      </c>
      <c r="F90" s="170" t="n">
        <v>100</v>
      </c>
      <c r="G90" s="170" t="inlineStr">
        <is>
          <t>g</t>
        </is>
      </c>
      <c r="H90" s="170" t="inlineStr"/>
      <c r="I90" s="170" t="n">
        <v>381</v>
      </c>
      <c r="J90" s="170" t="n">
        <v>7</v>
      </c>
      <c r="K90" s="170" t="n">
        <v>88</v>
      </c>
      <c r="L90" s="170" t="n">
        <v>0</v>
      </c>
      <c r="M90" s="170" t="n">
        <v>0</v>
      </c>
      <c r="N90" s="170" t="n">
        <v>466</v>
      </c>
      <c r="O90" s="142" t="inlineStr">
        <is>
          <t>["strawberry jell-o", "strawberry jello", "jell-o powder", "jello powder", "gelatin dessert powder"]</t>
        </is>
      </c>
      <c r="P90" s="142" t="inlineStr">
        <is>
          <t>{"tbsp": 9, "box": 85, "packet": 85}</t>
        </is>
      </c>
      <c r="Q90" s="142" t="inlineStr">
        <is>
          <t>Generic reference – verify</t>
        </is>
      </c>
      <c r="R90" s="142" t="inlineStr"/>
      <c r="S90" s="142" t="inlineStr"/>
      <c r="T90" s="142" t="b">
        <v>0</v>
      </c>
      <c r="U90" s="142" t="inlineStr">
        <is>
          <t>Generic reference estimate; verify against the product label or a confirmed food-composition record.</t>
        </is>
      </c>
      <c r="V90" s="171" t="n">
        <v>46223.89583333334</v>
      </c>
    </row>
    <row r="91">
      <c r="A91" s="142" t="inlineStr">
        <is>
          <t>ING090</t>
        </is>
      </c>
      <c r="B91" s="142" t="inlineStr">
        <is>
          <t>Strawberries, raw</t>
        </is>
      </c>
      <c r="C91" s="142" t="inlineStr"/>
      <c r="D91" s="142" t="inlineStr">
        <is>
          <t>raw</t>
        </is>
      </c>
      <c r="E91" s="142" t="inlineStr">
        <is>
          <t>100 g</t>
        </is>
      </c>
      <c r="F91" s="170" t="n">
        <v>100</v>
      </c>
      <c r="G91" s="170" t="inlineStr">
        <is>
          <t>g</t>
        </is>
      </c>
      <c r="H91" s="170" t="inlineStr"/>
      <c r="I91" s="170" t="n">
        <v>32</v>
      </c>
      <c r="J91" s="170" t="n">
        <v>0.7</v>
      </c>
      <c r="K91" s="170" t="n">
        <v>7.7</v>
      </c>
      <c r="L91" s="170" t="n">
        <v>0.3</v>
      </c>
      <c r="M91" s="170" t="n">
        <v>2</v>
      </c>
      <c r="N91" s="170" t="n">
        <v>1</v>
      </c>
      <c r="O91" s="142" t="inlineStr">
        <is>
          <t>["strawberry", "fresh strawberries"]</t>
        </is>
      </c>
      <c r="P91" s="142" t="inlineStr">
        <is>
          <t>{"cup": 152, "each": 18, "medium": 18, "large": 27}</t>
        </is>
      </c>
      <c r="Q91" s="142" t="inlineStr">
        <is>
          <t>Generic reference – verify</t>
        </is>
      </c>
      <c r="R91" s="142" t="inlineStr"/>
      <c r="S91" s="142" t="inlineStr"/>
      <c r="T91" s="142" t="b">
        <v>0</v>
      </c>
      <c r="U91" s="142" t="inlineStr">
        <is>
          <t>Generic reference estimate; verify against the product label or a confirmed food-composition record.</t>
        </is>
      </c>
      <c r="V91" s="171" t="n">
        <v>46223.89583333334</v>
      </c>
    </row>
    <row r="92">
      <c r="A92" s="142" t="inlineStr">
        <is>
          <t>ING091</t>
        </is>
      </c>
      <c r="B92" s="142" t="inlineStr">
        <is>
          <t>Heavy cream</t>
        </is>
      </c>
      <c r="C92" s="142" t="inlineStr"/>
      <c r="D92" s="142" t="inlineStr">
        <is>
          <t>liquid</t>
        </is>
      </c>
      <c r="E92" s="142" t="inlineStr">
        <is>
          <t>100 g</t>
        </is>
      </c>
      <c r="F92" s="170" t="n">
        <v>100</v>
      </c>
      <c r="G92" s="170" t="inlineStr">
        <is>
          <t>g</t>
        </is>
      </c>
      <c r="H92" s="170" t="n">
        <v>0.994</v>
      </c>
      <c r="I92" s="170" t="n">
        <v>340</v>
      </c>
      <c r="J92" s="170" t="n">
        <v>2.1</v>
      </c>
      <c r="K92" s="170" t="n">
        <v>2.8</v>
      </c>
      <c r="L92" s="170" t="n">
        <v>36</v>
      </c>
      <c r="M92" s="170" t="n">
        <v>0</v>
      </c>
      <c r="N92" s="170" t="n">
        <v>38</v>
      </c>
      <c r="O92" s="142" t="inlineStr">
        <is>
          <t>["double cream", "heavy whipping cream", "whipping cream"]</t>
        </is>
      </c>
      <c r="P92" s="142" t="inlineStr">
        <is>
          <t>{"cup": 238, "tbsp": 15, "tsp": 5}</t>
        </is>
      </c>
      <c r="Q92" s="142" t="inlineStr">
        <is>
          <t>Generic reference – verify</t>
        </is>
      </c>
      <c r="R92" s="142" t="inlineStr"/>
      <c r="S92" s="142" t="inlineStr"/>
      <c r="T92" s="142" t="b">
        <v>0</v>
      </c>
      <c r="U92" s="142" t="inlineStr">
        <is>
          <t>Generic reference estimate; verify against the product label or a confirmed food-composition record.</t>
        </is>
      </c>
      <c r="V92" s="171" t="n">
        <v>46223.89583333334</v>
      </c>
    </row>
    <row r="93">
      <c r="A93" s="142" t="inlineStr">
        <is>
          <t>ING092</t>
        </is>
      </c>
      <c r="B93" s="142" t="inlineStr">
        <is>
          <t>Cream cheese</t>
        </is>
      </c>
      <c r="C93" s="142" t="inlineStr"/>
      <c r="D93" s="142" t="inlineStr">
        <is>
          <t>packaged</t>
        </is>
      </c>
      <c r="E93" s="142" t="inlineStr">
        <is>
          <t>100 g</t>
        </is>
      </c>
      <c r="F93" s="170" t="n">
        <v>100</v>
      </c>
      <c r="G93" s="170" t="inlineStr">
        <is>
          <t>g</t>
        </is>
      </c>
      <c r="H93" s="170" t="inlineStr"/>
      <c r="I93" s="170" t="n">
        <v>342</v>
      </c>
      <c r="J93" s="170" t="n">
        <v>6</v>
      </c>
      <c r="K93" s="170" t="n">
        <v>4.1</v>
      </c>
      <c r="L93" s="170" t="n">
        <v>34</v>
      </c>
      <c r="M93" s="170" t="n">
        <v>0</v>
      </c>
      <c r="N93" s="170" t="n">
        <v>321</v>
      </c>
      <c r="O93" s="142" t="inlineStr">
        <is>
          <t>["soft cream cheese", "full fat cream cheese"]</t>
        </is>
      </c>
      <c r="P93" s="142" t="inlineStr">
        <is>
          <t>{"tbsp": 14.5, "oz": 28.35, "cup": 232}</t>
        </is>
      </c>
      <c r="Q93" s="142" t="inlineStr">
        <is>
          <t>Generic reference – verify</t>
        </is>
      </c>
      <c r="R93" s="142" t="inlineStr"/>
      <c r="S93" s="142" t="inlineStr"/>
      <c r="T93" s="142" t="b">
        <v>0</v>
      </c>
      <c r="U93" s="142" t="inlineStr">
        <is>
          <t>Generic reference estimate; verify against the product label or a confirmed food-composition record.</t>
        </is>
      </c>
      <c r="V93" s="171" t="n">
        <v>46223.89583333334</v>
      </c>
    </row>
    <row r="94">
      <c r="A94" s="142" t="inlineStr">
        <is>
          <t>ING093</t>
        </is>
      </c>
      <c r="B94" s="142" t="inlineStr">
        <is>
          <t>Maple syrup</t>
        </is>
      </c>
      <c r="C94" s="142" t="inlineStr"/>
      <c r="D94" s="142" t="inlineStr">
        <is>
          <t>liquid</t>
        </is>
      </c>
      <c r="E94" s="142" t="inlineStr">
        <is>
          <t>100 g</t>
        </is>
      </c>
      <c r="F94" s="170" t="n">
        <v>100</v>
      </c>
      <c r="G94" s="170" t="inlineStr">
        <is>
          <t>g</t>
        </is>
      </c>
      <c r="H94" s="170" t="n">
        <v>1.33</v>
      </c>
      <c r="I94" s="170" t="n">
        <v>260</v>
      </c>
      <c r="J94" s="170" t="n">
        <v>0</v>
      </c>
      <c r="K94" s="170" t="n">
        <v>67</v>
      </c>
      <c r="L94" s="170" t="n">
        <v>0.1</v>
      </c>
      <c r="M94" s="170" t="n">
        <v>0</v>
      </c>
      <c r="N94" s="170" t="n">
        <v>12</v>
      </c>
      <c r="O94" s="142" t="inlineStr">
        <is>
          <t>["pure maple syrup"]</t>
        </is>
      </c>
      <c r="P94" s="142" t="inlineStr">
        <is>
          <t>{"tbsp": 20, "tsp": 6.7, "cup": 320}</t>
        </is>
      </c>
      <c r="Q94" s="142" t="inlineStr">
        <is>
          <t>Generic reference – verify</t>
        </is>
      </c>
      <c r="R94" s="142" t="inlineStr"/>
      <c r="S94" s="142" t="inlineStr"/>
      <c r="T94" s="142" t="b">
        <v>0</v>
      </c>
      <c r="U94" s="142" t="inlineStr">
        <is>
          <t>Generic reference estimate; verify against the product label or a confirmed food-composition record.</t>
        </is>
      </c>
      <c r="V94" s="171" t="n">
        <v>46223.89583333334</v>
      </c>
    </row>
    <row r="95">
      <c r="A95" s="142" t="inlineStr">
        <is>
          <t>ING094</t>
        </is>
      </c>
      <c r="B95" s="142" t="inlineStr">
        <is>
          <t>Vanilla extract</t>
        </is>
      </c>
      <c r="C95" s="142" t="inlineStr"/>
      <c r="D95" s="142" t="inlineStr">
        <is>
          <t>liquid</t>
        </is>
      </c>
      <c r="E95" s="142" t="inlineStr">
        <is>
          <t>100 g</t>
        </is>
      </c>
      <c r="F95" s="170" t="n">
        <v>100</v>
      </c>
      <c r="G95" s="170" t="inlineStr">
        <is>
          <t>g</t>
        </is>
      </c>
      <c r="H95" s="170" t="n">
        <v>0.88</v>
      </c>
      <c r="I95" s="170" t="n">
        <v>288</v>
      </c>
      <c r="J95" s="170" t="n">
        <v>0.1</v>
      </c>
      <c r="K95" s="170" t="n">
        <v>12.7</v>
      </c>
      <c r="L95" s="170" t="n">
        <v>0.1</v>
      </c>
      <c r="M95" s="170" t="n">
        <v>0</v>
      </c>
      <c r="N95" s="170" t="n">
        <v>9</v>
      </c>
      <c r="O95" s="142" t="inlineStr">
        <is>
          <t>["vanilla", "pure vanilla extract", "vanilla essence"]</t>
        </is>
      </c>
      <c r="P95" s="142" t="inlineStr">
        <is>
          <t>{"tsp": 4.2, "tbsp": 13}</t>
        </is>
      </c>
      <c r="Q95" s="142" t="inlineStr">
        <is>
          <t>Generic reference – verify</t>
        </is>
      </c>
      <c r="R95" s="142" t="inlineStr"/>
      <c r="S95" s="142" t="inlineStr"/>
      <c r="T95" s="142" t="b">
        <v>0</v>
      </c>
      <c r="U95" s="142" t="inlineStr">
        <is>
          <t>Generic reference estimate; verify against the product label or a confirmed food-composition record.</t>
        </is>
      </c>
      <c r="V95" s="171" t="n">
        <v>46223.89583333334</v>
      </c>
    </row>
    <row r="96">
      <c r="A96" s="142" t="inlineStr">
        <is>
          <t>ING095</t>
        </is>
      </c>
      <c r="B96" s="142" t="inlineStr">
        <is>
          <t>Baking soda</t>
        </is>
      </c>
      <c r="C96" s="142" t="inlineStr"/>
      <c r="D96" s="142" t="inlineStr">
        <is>
          <t>dry</t>
        </is>
      </c>
      <c r="E96" s="142" t="inlineStr">
        <is>
          <t>100 g</t>
        </is>
      </c>
      <c r="F96" s="170" t="n">
        <v>100</v>
      </c>
      <c r="G96" s="170" t="inlineStr">
        <is>
          <t>g</t>
        </is>
      </c>
      <c r="H96" s="170" t="inlineStr"/>
      <c r="I96" s="170" t="n">
        <v>0</v>
      </c>
      <c r="J96" s="170" t="n">
        <v>0</v>
      </c>
      <c r="K96" s="170" t="n">
        <v>0</v>
      </c>
      <c r="L96" s="170" t="n">
        <v>0</v>
      </c>
      <c r="M96" s="170" t="n">
        <v>0</v>
      </c>
      <c r="N96" s="170" t="n">
        <v>27360</v>
      </c>
      <c r="O96" s="142" t="inlineStr">
        <is>
          <t>["bicarbonate of soda", "sodium bicarbonate"]</t>
        </is>
      </c>
      <c r="P96" s="142" t="inlineStr">
        <is>
          <t>{"tsp": 4.6, "tbsp": 13.8}</t>
        </is>
      </c>
      <c r="Q96" s="142" t="inlineStr">
        <is>
          <t>Generic reference – verify</t>
        </is>
      </c>
      <c r="R96" s="142" t="inlineStr"/>
      <c r="S96" s="142" t="inlineStr"/>
      <c r="T96" s="142" t="b">
        <v>0</v>
      </c>
      <c r="U96" s="142" t="inlineStr">
        <is>
          <t>Sodium value is representative; quantities are normally very small.</t>
        </is>
      </c>
      <c r="V96" s="171" t="n">
        <v>46223.89583333334</v>
      </c>
    </row>
    <row r="97">
      <c r="A97" s="142" t="inlineStr">
        <is>
          <t>ING096</t>
        </is>
      </c>
      <c r="B97" s="142" t="inlineStr">
        <is>
          <t>Chocolate chips</t>
        </is>
      </c>
      <c r="C97" s="142" t="inlineStr"/>
      <c r="D97" s="142" t="inlineStr">
        <is>
          <t>packaged</t>
        </is>
      </c>
      <c r="E97" s="142" t="inlineStr">
        <is>
          <t>100 g</t>
        </is>
      </c>
      <c r="F97" s="170" t="n">
        <v>100</v>
      </c>
      <c r="G97" s="170" t="inlineStr">
        <is>
          <t>g</t>
        </is>
      </c>
      <c r="H97" s="170" t="inlineStr"/>
      <c r="I97" s="170" t="n">
        <v>479</v>
      </c>
      <c r="J97" s="170" t="n">
        <v>4.2</v>
      </c>
      <c r="K97" s="170" t="n">
        <v>63</v>
      </c>
      <c r="L97" s="170" t="n">
        <v>30</v>
      </c>
      <c r="M97" s="170" t="n">
        <v>7</v>
      </c>
      <c r="N97" s="170" t="n">
        <v>24</v>
      </c>
      <c r="O97" s="142" t="inlineStr">
        <is>
          <t>["chocolate chip", "dark chocolate chips", "milk chocolate chips", "chocolate chunks"]</t>
        </is>
      </c>
      <c r="P97" s="142" t="inlineStr">
        <is>
          <t>{"cup": 170, "tbsp": 11}</t>
        </is>
      </c>
      <c r="Q97" s="142" t="inlineStr">
        <is>
          <t>Generic reference – verify</t>
        </is>
      </c>
      <c r="R97" s="142" t="inlineStr"/>
      <c r="S97" s="142" t="inlineStr"/>
      <c r="T97" s="142" t="b">
        <v>0</v>
      </c>
      <c r="U97" s="142" t="inlineStr">
        <is>
          <t>Generic reference estimate; verify against the product label or a confirmed food-composition record.</t>
        </is>
      </c>
      <c r="V97" s="171" t="n">
        <v>46223.89583333334</v>
      </c>
    </row>
    <row r="98">
      <c r="A98" s="142" t="inlineStr">
        <is>
          <t>ING097</t>
        </is>
      </c>
      <c r="B98" s="142" t="inlineStr">
        <is>
          <t>Chilli powder</t>
        </is>
      </c>
      <c r="C98" s="142" t="inlineStr"/>
      <c r="D98" s="142" t="inlineStr">
        <is>
          <t>dry</t>
        </is>
      </c>
      <c r="E98" s="142" t="inlineStr">
        <is>
          <t>100 g</t>
        </is>
      </c>
      <c r="F98" s="170" t="n">
        <v>100</v>
      </c>
      <c r="G98" s="170" t="inlineStr">
        <is>
          <t>g</t>
        </is>
      </c>
      <c r="H98" s="170" t="inlineStr"/>
      <c r="I98" s="170" t="n">
        <v>282</v>
      </c>
      <c r="J98" s="170" t="n">
        <v>13.5</v>
      </c>
      <c r="K98" s="170" t="n">
        <v>50</v>
      </c>
      <c r="L98" s="170" t="n">
        <v>14</v>
      </c>
      <c r="M98" s="170" t="n">
        <v>34.8</v>
      </c>
      <c r="N98" s="170" t="n">
        <v>1640</v>
      </c>
      <c r="O98" s="142" t="inlineStr">
        <is>
          <t>["chili powder", "ground chilli", "ground chili"]</t>
        </is>
      </c>
      <c r="P98" s="142" t="inlineStr">
        <is>
          <t>{"tsp": 2.7, "tbsp": 8}</t>
        </is>
      </c>
      <c r="Q98" s="142" t="inlineStr">
        <is>
          <t>Generic reference – verify</t>
        </is>
      </c>
      <c r="R98" s="142" t="inlineStr"/>
      <c r="S98" s="142" t="inlineStr"/>
      <c r="T98" s="142" t="b">
        <v>0</v>
      </c>
      <c r="U98" s="142" t="inlineStr">
        <is>
          <t>Generic reference estimate; verify against the product label or a confirmed food-composition record.</t>
        </is>
      </c>
      <c r="V98" s="171" t="n">
        <v>46223.89583333334</v>
      </c>
    </row>
    <row r="99">
      <c r="A99" s="142" t="inlineStr">
        <is>
          <t>ING098</t>
        </is>
      </c>
      <c r="B99" s="142" t="inlineStr">
        <is>
          <t>Cumin, ground</t>
        </is>
      </c>
      <c r="C99" s="142" t="inlineStr"/>
      <c r="D99" s="142" t="inlineStr">
        <is>
          <t>dry</t>
        </is>
      </c>
      <c r="E99" s="142" t="inlineStr">
        <is>
          <t>100 g</t>
        </is>
      </c>
      <c r="F99" s="170" t="n">
        <v>100</v>
      </c>
      <c r="G99" s="170" t="inlineStr">
        <is>
          <t>g</t>
        </is>
      </c>
      <c r="H99" s="170" t="inlineStr"/>
      <c r="I99" s="170" t="n">
        <v>375</v>
      </c>
      <c r="J99" s="170" t="n">
        <v>18</v>
      </c>
      <c r="K99" s="170" t="n">
        <v>44</v>
      </c>
      <c r="L99" s="170" t="n">
        <v>22</v>
      </c>
      <c r="M99" s="170" t="n">
        <v>10.5</v>
      </c>
      <c r="N99" s="170" t="n">
        <v>168</v>
      </c>
      <c r="O99" s="142" t="inlineStr">
        <is>
          <t>["ground cumin", "cumin powder", "cumin"]</t>
        </is>
      </c>
      <c r="P99" s="142" t="inlineStr">
        <is>
          <t>{"tsp": 2.1, "tbsp": 6.3}</t>
        </is>
      </c>
      <c r="Q99" s="142" t="inlineStr">
        <is>
          <t>Generic reference – verify</t>
        </is>
      </c>
      <c r="R99" s="142" t="inlineStr"/>
      <c r="S99" s="142" t="inlineStr"/>
      <c r="T99" s="142" t="b">
        <v>0</v>
      </c>
      <c r="U99" s="142" t="inlineStr">
        <is>
          <t>Generic reference estimate; verify against the product label or a confirmed food-composition record.</t>
        </is>
      </c>
      <c r="V99" s="171" t="n">
        <v>46223.89583333334</v>
      </c>
    </row>
    <row r="100">
      <c r="A100" s="142" t="inlineStr">
        <is>
          <t>ING099</t>
        </is>
      </c>
      <c r="B100" s="142" t="inlineStr">
        <is>
          <t>Onion powder</t>
        </is>
      </c>
      <c r="C100" s="142" t="inlineStr"/>
      <c r="D100" s="142" t="inlineStr">
        <is>
          <t>dry</t>
        </is>
      </c>
      <c r="E100" s="142" t="inlineStr">
        <is>
          <t>100 g</t>
        </is>
      </c>
      <c r="F100" s="170" t="n">
        <v>100</v>
      </c>
      <c r="G100" s="170" t="inlineStr">
        <is>
          <t>g</t>
        </is>
      </c>
      <c r="H100" s="170" t="inlineStr"/>
      <c r="I100" s="170" t="n">
        <v>341</v>
      </c>
      <c r="J100" s="170" t="n">
        <v>10</v>
      </c>
      <c r="K100" s="170" t="n">
        <v>79</v>
      </c>
      <c r="L100" s="170" t="n">
        <v>1</v>
      </c>
      <c r="M100" s="170" t="n">
        <v>15</v>
      </c>
      <c r="N100" s="170" t="n">
        <v>73</v>
      </c>
      <c r="O100" s="142" t="inlineStr">
        <is>
          <t>["ground onion", "onion granules"]</t>
        </is>
      </c>
      <c r="P100" s="142" t="inlineStr">
        <is>
          <t>{"tsp": 2.4, "tbsp": 7.2}</t>
        </is>
      </c>
      <c r="Q100" s="142" t="inlineStr">
        <is>
          <t>Generic reference – verify</t>
        </is>
      </c>
      <c r="R100" s="142" t="inlineStr"/>
      <c r="S100" s="142" t="inlineStr"/>
      <c r="T100" s="142" t="b">
        <v>0</v>
      </c>
      <c r="U100" s="142" t="inlineStr">
        <is>
          <t>Generic reference estimate; verify against the product label or a confirmed food-composition record.</t>
        </is>
      </c>
      <c r="V100" s="171" t="n">
        <v>46223.89583333334</v>
      </c>
    </row>
    <row r="101">
      <c r="A101" s="142" t="inlineStr">
        <is>
          <t>ING100</t>
        </is>
      </c>
      <c r="B101" s="142" t="inlineStr">
        <is>
          <t>Garlic powder</t>
        </is>
      </c>
      <c r="C101" s="142" t="inlineStr"/>
      <c r="D101" s="142" t="inlineStr">
        <is>
          <t>dry</t>
        </is>
      </c>
      <c r="E101" s="142" t="inlineStr">
        <is>
          <t>100 g</t>
        </is>
      </c>
      <c r="F101" s="170" t="n">
        <v>100</v>
      </c>
      <c r="G101" s="170" t="inlineStr">
        <is>
          <t>g</t>
        </is>
      </c>
      <c r="H101" s="170" t="inlineStr"/>
      <c r="I101" s="170" t="n">
        <v>331</v>
      </c>
      <c r="J101" s="170" t="n">
        <v>17</v>
      </c>
      <c r="K101" s="170" t="n">
        <v>73</v>
      </c>
      <c r="L101" s="170" t="n">
        <v>0.7</v>
      </c>
      <c r="M101" s="170" t="n">
        <v>9</v>
      </c>
      <c r="N101" s="170" t="n">
        <v>60</v>
      </c>
      <c r="O101" s="142" t="inlineStr">
        <is>
          <t>["granulated garlic", "ground garlic"]</t>
        </is>
      </c>
      <c r="P101" s="142" t="inlineStr">
        <is>
          <t>{"tsp": 3.1, "tbsp": 9.3}</t>
        </is>
      </c>
      <c r="Q101" s="142" t="inlineStr">
        <is>
          <t>Generic reference – verify</t>
        </is>
      </c>
      <c r="R101" s="142" t="inlineStr"/>
      <c r="S101" s="142" t="inlineStr"/>
      <c r="T101" s="142" t="b">
        <v>0</v>
      </c>
      <c r="U101" s="142" t="inlineStr">
        <is>
          <t>Generic reference estimate; verify against the product label or a confirmed food-composition record.</t>
        </is>
      </c>
      <c r="V101" s="171" t="n">
        <v>46223.89583333334</v>
      </c>
    </row>
    <row r="102">
      <c r="A102" s="142" t="inlineStr">
        <is>
          <t>ING101</t>
        </is>
      </c>
      <c r="B102" s="142" t="inlineStr">
        <is>
          <t>Cayenne pepper</t>
        </is>
      </c>
      <c r="C102" s="142" t="inlineStr"/>
      <c r="D102" s="142" t="inlineStr">
        <is>
          <t>dry</t>
        </is>
      </c>
      <c r="E102" s="142" t="inlineStr">
        <is>
          <t>100 g</t>
        </is>
      </c>
      <c r="F102" s="170" t="n">
        <v>100</v>
      </c>
      <c r="G102" s="170" t="inlineStr">
        <is>
          <t>g</t>
        </is>
      </c>
      <c r="H102" s="170" t="inlineStr"/>
      <c r="I102" s="170" t="n">
        <v>318</v>
      </c>
      <c r="J102" s="170" t="n">
        <v>12</v>
      </c>
      <c r="K102" s="170" t="n">
        <v>57</v>
      </c>
      <c r="L102" s="170" t="n">
        <v>17</v>
      </c>
      <c r="M102" s="170" t="n">
        <v>27</v>
      </c>
      <c r="N102" s="170" t="n">
        <v>30</v>
      </c>
      <c r="O102" s="142" t="inlineStr">
        <is>
          <t>["cayenne", "ground cayenne"]</t>
        </is>
      </c>
      <c r="P102" s="142" t="inlineStr">
        <is>
          <t>{"tsp": 1.8, "tbsp": 5.4}</t>
        </is>
      </c>
      <c r="Q102" s="142" t="inlineStr">
        <is>
          <t>Generic reference – verify</t>
        </is>
      </c>
      <c r="R102" s="142" t="inlineStr"/>
      <c r="S102" s="142" t="inlineStr"/>
      <c r="T102" s="142" t="b">
        <v>0</v>
      </c>
      <c r="U102" s="142" t="inlineStr">
        <is>
          <t>Generic reference estimate; verify against the product label or a confirmed food-composition record.</t>
        </is>
      </c>
      <c r="V102" s="171" t="n">
        <v>46223.89583333334</v>
      </c>
    </row>
    <row r="103">
      <c r="A103" s="142" t="inlineStr">
        <is>
          <t>ING102</t>
        </is>
      </c>
      <c r="B103" s="142" t="inlineStr">
        <is>
          <t>Cotija cheese</t>
        </is>
      </c>
      <c r="C103" s="142" t="inlineStr"/>
      <c r="D103" s="142" t="inlineStr">
        <is>
          <t>packaged</t>
        </is>
      </c>
      <c r="E103" s="142" t="inlineStr">
        <is>
          <t>100 g</t>
        </is>
      </c>
      <c r="F103" s="170" t="n">
        <v>100</v>
      </c>
      <c r="G103" s="170" t="inlineStr">
        <is>
          <t>g</t>
        </is>
      </c>
      <c r="H103" s="170" t="inlineStr"/>
      <c r="I103" s="170" t="n">
        <v>366</v>
      </c>
      <c r="J103" s="170" t="n">
        <v>20</v>
      </c>
      <c r="K103" s="170" t="n">
        <v>4</v>
      </c>
      <c r="L103" s="170" t="n">
        <v>30</v>
      </c>
      <c r="M103" s="170" t="n">
        <v>0</v>
      </c>
      <c r="N103" s="170" t="n">
        <v>1400</v>
      </c>
      <c r="O103" s="142" t="inlineStr">
        <is>
          <t>["cotija", "cotija cheese"]</t>
        </is>
      </c>
      <c r="P103" s="142" t="inlineStr">
        <is>
          <t>{"cup": 112, "tbsp": 7}</t>
        </is>
      </c>
      <c r="Q103" s="142" t="inlineStr">
        <is>
          <t>Generic reference – verify</t>
        </is>
      </c>
      <c r="R103" s="142" t="inlineStr"/>
      <c r="S103" s="142" t="inlineStr"/>
      <c r="T103" s="142" t="b">
        <v>0</v>
      </c>
      <c r="U103" s="142" t="inlineStr">
        <is>
          <t>Generic reference estimate; verify against the product label or a confirmed food-composition record.</t>
        </is>
      </c>
      <c r="V103" s="171" t="n">
        <v>46223.89583333334</v>
      </c>
    </row>
    <row r="104">
      <c r="A104" s="142" t="inlineStr">
        <is>
          <t>ING103</t>
        </is>
      </c>
      <c r="B104" s="142" t="inlineStr">
        <is>
          <t>Sour cream, full-fat</t>
        </is>
      </c>
      <c r="C104" s="142" t="inlineStr"/>
      <c r="D104" s="142" t="inlineStr">
        <is>
          <t>packaged</t>
        </is>
      </c>
      <c r="E104" s="142" t="inlineStr">
        <is>
          <t>100 g</t>
        </is>
      </c>
      <c r="F104" s="170" t="n">
        <v>100</v>
      </c>
      <c r="G104" s="170" t="inlineStr">
        <is>
          <t>g</t>
        </is>
      </c>
      <c r="H104" s="170" t="inlineStr"/>
      <c r="I104" s="170" t="n">
        <v>198</v>
      </c>
      <c r="J104" s="170" t="n">
        <v>2.4</v>
      </c>
      <c r="K104" s="170" t="n">
        <v>4.6</v>
      </c>
      <c r="L104" s="170" t="n">
        <v>19</v>
      </c>
      <c r="M104" s="170" t="n">
        <v>0</v>
      </c>
      <c r="N104" s="170" t="n">
        <v>31</v>
      </c>
      <c r="O104" s="142" t="inlineStr">
        <is>
          <t>["sour cream", "full fat sour cream"]</t>
        </is>
      </c>
      <c r="P104" s="142" t="inlineStr">
        <is>
          <t>{"cup": 230, "tbsp": 14.4, "tsp": 4.8}</t>
        </is>
      </c>
      <c r="Q104" s="142" t="inlineStr">
        <is>
          <t>Generic reference – verify</t>
        </is>
      </c>
      <c r="R104" s="142" t="inlineStr"/>
      <c r="S104" s="142" t="inlineStr"/>
      <c r="T104" s="142" t="b">
        <v>0</v>
      </c>
      <c r="U104" s="142" t="inlineStr">
        <is>
          <t>Generic reference estimate; verify against the product label or a confirmed food-composition record.</t>
        </is>
      </c>
      <c r="V104" s="171" t="n">
        <v>46223.89583333334</v>
      </c>
    </row>
    <row r="105">
      <c r="A105" s="142" t="inlineStr">
        <is>
          <t>ING104</t>
        </is>
      </c>
      <c r="B105" s="142" t="inlineStr">
        <is>
          <t>Greek yoghurt, full-fat</t>
        </is>
      </c>
      <c r="C105" s="142" t="inlineStr"/>
      <c r="D105" s="142" t="inlineStr">
        <is>
          <t>packaged</t>
        </is>
      </c>
      <c r="E105" s="142" t="inlineStr">
        <is>
          <t>100 g</t>
        </is>
      </c>
      <c r="F105" s="170" t="n">
        <v>100</v>
      </c>
      <c r="G105" s="170" t="inlineStr">
        <is>
          <t>g</t>
        </is>
      </c>
      <c r="H105" s="170" t="inlineStr"/>
      <c r="I105" s="170" t="n">
        <v>97</v>
      </c>
      <c r="J105" s="170" t="n">
        <v>9</v>
      </c>
      <c r="K105" s="170" t="n">
        <v>3.9</v>
      </c>
      <c r="L105" s="170" t="n">
        <v>5</v>
      </c>
      <c r="M105" s="170" t="n">
        <v>0</v>
      </c>
      <c r="N105" s="170" t="n">
        <v>36</v>
      </c>
      <c r="O105" s="142" t="inlineStr">
        <is>
          <t>["full-fat greek yogurt", "full fat greek yoghurt", "greek yogurt full fat", "plain full-fat yoghurt"]</t>
        </is>
      </c>
      <c r="P105" s="142" t="inlineStr">
        <is>
          <t>{"cup": 245, "tbsp": 15}</t>
        </is>
      </c>
      <c r="Q105" s="142" t="inlineStr">
        <is>
          <t>Generic reference – verify</t>
        </is>
      </c>
      <c r="R105" s="142" t="inlineStr"/>
      <c r="S105" s="142" t="inlineStr"/>
      <c r="T105" s="142" t="b">
        <v>0</v>
      </c>
      <c r="U105" s="142" t="inlineStr">
        <is>
          <t>Generic reference estimate; verify against the product label or a confirmed food-composition record.</t>
        </is>
      </c>
      <c r="V105" s="171" t="n">
        <v>46223.89583333334</v>
      </c>
    </row>
    <row r="106">
      <c r="A106" s="142" t="inlineStr">
        <is>
          <t>ING105</t>
        </is>
      </c>
      <c r="B106" s="142" t="inlineStr">
        <is>
          <t>Avocado oil</t>
        </is>
      </c>
      <c r="C106" s="142" t="inlineStr"/>
      <c r="D106" s="142" t="inlineStr">
        <is>
          <t>liquid</t>
        </is>
      </c>
      <c r="E106" s="142" t="inlineStr">
        <is>
          <t>100 g</t>
        </is>
      </c>
      <c r="F106" s="170" t="n">
        <v>100</v>
      </c>
      <c r="G106" s="170" t="inlineStr">
        <is>
          <t>g</t>
        </is>
      </c>
      <c r="H106" s="170" t="n">
        <v>0.91</v>
      </c>
      <c r="I106" s="170" t="n">
        <v>884</v>
      </c>
      <c r="J106" s="170" t="n">
        <v>0</v>
      </c>
      <c r="K106" s="170" t="n">
        <v>0</v>
      </c>
      <c r="L106" s="170" t="n">
        <v>100</v>
      </c>
      <c r="M106" s="170" t="n">
        <v>0</v>
      </c>
      <c r="N106" s="170" t="n">
        <v>0</v>
      </c>
      <c r="O106" s="142" t="inlineStr">
        <is>
          <t>["avocado oil"]</t>
        </is>
      </c>
      <c r="P106" s="142" t="inlineStr">
        <is>
          <t>{"tbsp": 13.6, "tsp": 4.5, "cup": 220}</t>
        </is>
      </c>
      <c r="Q106" s="142" t="inlineStr">
        <is>
          <t>Generic reference – verify</t>
        </is>
      </c>
      <c r="R106" s="142" t="inlineStr"/>
      <c r="S106" s="142" t="inlineStr"/>
      <c r="T106" s="142" t="b">
        <v>0</v>
      </c>
      <c r="U106" s="142" t="inlineStr">
        <is>
          <t>Generic reference estimate; verify against the product label or a confirmed food-composition record.</t>
        </is>
      </c>
      <c r="V106" s="171" t="n">
        <v>46223.89583333334</v>
      </c>
    </row>
    <row r="107">
      <c r="A107" s="142" t="inlineStr">
        <is>
          <t>ING106</t>
        </is>
      </c>
      <c r="B107" s="142" t="inlineStr">
        <is>
          <t>Peach, raw</t>
        </is>
      </c>
      <c r="C107" s="142" t="inlineStr"/>
      <c r="D107" s="142" t="inlineStr">
        <is>
          <t>raw</t>
        </is>
      </c>
      <c r="E107" s="142" t="inlineStr">
        <is>
          <t>100 g</t>
        </is>
      </c>
      <c r="F107" s="170" t="n">
        <v>100</v>
      </c>
      <c r="G107" s="170" t="inlineStr">
        <is>
          <t>g</t>
        </is>
      </c>
      <c r="H107" s="170" t="inlineStr"/>
      <c r="I107" s="170" t="n">
        <v>39</v>
      </c>
      <c r="J107" s="170" t="n">
        <v>0.9</v>
      </c>
      <c r="K107" s="170" t="n">
        <v>9.5</v>
      </c>
      <c r="L107" s="170" t="n">
        <v>0.3</v>
      </c>
      <c r="M107" s="170" t="n">
        <v>1.5</v>
      </c>
      <c r="N107" s="170" t="n">
        <v>0</v>
      </c>
      <c r="O107" s="142" t="inlineStr">
        <is>
          <t>["peach", "peaches"]</t>
        </is>
      </c>
      <c r="P107" s="142" t="inlineStr">
        <is>
          <t>{"each": 150, "medium": 150, "cup": 154}</t>
        </is>
      </c>
      <c r="Q107" s="142" t="inlineStr">
        <is>
          <t>Generic reference – verify</t>
        </is>
      </c>
      <c r="R107" s="142" t="inlineStr"/>
      <c r="S107" s="142" t="inlineStr"/>
      <c r="T107" s="142" t="b">
        <v>0</v>
      </c>
      <c r="U107" s="142" t="inlineStr">
        <is>
          <t>Generic reference estimate; verify against the product label or a confirmed food-composition record.</t>
        </is>
      </c>
      <c r="V107" s="171" t="n">
        <v>46223.89583333334</v>
      </c>
    </row>
    <row r="108">
      <c r="A108" s="142" t="inlineStr">
        <is>
          <t>ING107</t>
        </is>
      </c>
      <c r="B108" s="142" t="inlineStr">
        <is>
          <t>Shallot, raw</t>
        </is>
      </c>
      <c r="C108" s="142" t="inlineStr"/>
      <c r="D108" s="142" t="inlineStr">
        <is>
          <t>raw</t>
        </is>
      </c>
      <c r="E108" s="142" t="inlineStr">
        <is>
          <t>100 g</t>
        </is>
      </c>
      <c r="F108" s="170" t="n">
        <v>100</v>
      </c>
      <c r="G108" s="170" t="inlineStr">
        <is>
          <t>g</t>
        </is>
      </c>
      <c r="H108" s="170" t="inlineStr"/>
      <c r="I108" s="170" t="n">
        <v>72</v>
      </c>
      <c r="J108" s="170" t="n">
        <v>2.5</v>
      </c>
      <c r="K108" s="170" t="n">
        <v>17</v>
      </c>
      <c r="L108" s="170" t="n">
        <v>0.1</v>
      </c>
      <c r="M108" s="170" t="n">
        <v>3.2</v>
      </c>
      <c r="N108" s="170" t="n">
        <v>12</v>
      </c>
      <c r="O108" s="142" t="inlineStr">
        <is>
          <t>["shallot", "shallots"]</t>
        </is>
      </c>
      <c r="P108" s="142" t="inlineStr">
        <is>
          <t>{"each": 43, "small": 25, "medium": 43, "large": 60, "cup": 160}</t>
        </is>
      </c>
      <c r="Q108" s="142" t="inlineStr">
        <is>
          <t>Generic reference – verify</t>
        </is>
      </c>
      <c r="R108" s="142" t="inlineStr"/>
      <c r="S108" s="142" t="inlineStr"/>
      <c r="T108" s="142" t="b">
        <v>0</v>
      </c>
      <c r="U108" s="142" t="inlineStr">
        <is>
          <t>Generic reference estimate; verify against the product label or a confirmed food-composition record.</t>
        </is>
      </c>
      <c r="V108" s="171" t="n">
        <v>46223.89583333334</v>
      </c>
    </row>
    <row r="109">
      <c r="A109" s="142" t="inlineStr">
        <is>
          <t>ING108</t>
        </is>
      </c>
      <c r="B109" s="142" t="inlineStr">
        <is>
          <t>Paprika, smoked</t>
        </is>
      </c>
      <c r="C109" s="142" t="inlineStr"/>
      <c r="D109" s="142" t="inlineStr">
        <is>
          <t>dry</t>
        </is>
      </c>
      <c r="E109" s="142" t="inlineStr">
        <is>
          <t>100 g</t>
        </is>
      </c>
      <c r="F109" s="170" t="n">
        <v>100</v>
      </c>
      <c r="G109" s="170" t="inlineStr">
        <is>
          <t>g</t>
        </is>
      </c>
      <c r="H109" s="170" t="inlineStr"/>
      <c r="I109" s="170" t="n">
        <v>282</v>
      </c>
      <c r="J109" s="170" t="n">
        <v>14</v>
      </c>
      <c r="K109" s="170" t="n">
        <v>54</v>
      </c>
      <c r="L109" s="170" t="n">
        <v>13</v>
      </c>
      <c r="M109" s="170" t="n">
        <v>35</v>
      </c>
      <c r="N109" s="170" t="n">
        <v>68</v>
      </c>
      <c r="O109" s="142" t="inlineStr">
        <is>
          <t>["smoked paprika", "paprika", "sweet paprika"]</t>
        </is>
      </c>
      <c r="P109" s="142" t="inlineStr">
        <is>
          <t>{"tsp": 2.3, "tbsp": 6.8}</t>
        </is>
      </c>
      <c r="Q109" s="142" t="inlineStr">
        <is>
          <t>Generic reference – verify</t>
        </is>
      </c>
      <c r="R109" s="142" t="inlineStr"/>
      <c r="S109" s="142" t="inlineStr"/>
      <c r="T109" s="142" t="b">
        <v>0</v>
      </c>
      <c r="U109" s="142" t="inlineStr">
        <is>
          <t>Generic reference estimate; verify against the product label or a confirmed food-composition record.</t>
        </is>
      </c>
      <c r="V109" s="171" t="n">
        <v>46223.89583333334</v>
      </c>
    </row>
    <row r="110">
      <c r="A110" s="142" t="inlineStr">
        <is>
          <t>ING109</t>
        </is>
      </c>
      <c r="B110" s="142" t="inlineStr">
        <is>
          <t>Curry powder</t>
        </is>
      </c>
      <c r="C110" s="142" t="inlineStr"/>
      <c r="D110" s="142" t="inlineStr">
        <is>
          <t>dry</t>
        </is>
      </c>
      <c r="E110" s="142" t="inlineStr">
        <is>
          <t>100 g</t>
        </is>
      </c>
      <c r="F110" s="170" t="n">
        <v>100</v>
      </c>
      <c r="G110" s="170" t="inlineStr">
        <is>
          <t>g</t>
        </is>
      </c>
      <c r="H110" s="170" t="inlineStr"/>
      <c r="I110" s="170" t="n">
        <v>325</v>
      </c>
      <c r="J110" s="170" t="n">
        <v>14</v>
      </c>
      <c r="K110" s="170" t="n">
        <v>58</v>
      </c>
      <c r="L110" s="170" t="n">
        <v>14</v>
      </c>
      <c r="M110" s="170" t="n">
        <v>33</v>
      </c>
      <c r="N110" s="170" t="n">
        <v>52</v>
      </c>
      <c r="O110" s="142" t="inlineStr">
        <is>
          <t>["curry spice", "curry powder"]</t>
        </is>
      </c>
      <c r="P110" s="142" t="inlineStr">
        <is>
          <t>{"tsp": 2, "tbsp": 6}</t>
        </is>
      </c>
      <c r="Q110" s="142" t="inlineStr">
        <is>
          <t>Generic reference – verify</t>
        </is>
      </c>
      <c r="R110" s="142" t="inlineStr"/>
      <c r="S110" s="142" t="inlineStr"/>
      <c r="T110" s="142" t="b">
        <v>0</v>
      </c>
      <c r="U110" s="142" t="inlineStr">
        <is>
          <t>Generic reference estimate; verify against the product label or a confirmed food-composition record.</t>
        </is>
      </c>
      <c r="V110" s="171" t="n">
        <v>46223.89583333334</v>
      </c>
    </row>
    <row r="111">
      <c r="A111" s="142" t="inlineStr">
        <is>
          <t>ING110</t>
        </is>
      </c>
      <c r="B111" s="142" t="inlineStr">
        <is>
          <t>White pepper, ground</t>
        </is>
      </c>
      <c r="C111" s="142" t="inlineStr"/>
      <c r="D111" s="142" t="inlineStr">
        <is>
          <t>dry</t>
        </is>
      </c>
      <c r="E111" s="142" t="inlineStr">
        <is>
          <t>100 g</t>
        </is>
      </c>
      <c r="F111" s="170" t="n">
        <v>100</v>
      </c>
      <c r="G111" s="170" t="inlineStr">
        <is>
          <t>g</t>
        </is>
      </c>
      <c r="H111" s="170" t="inlineStr"/>
      <c r="I111" s="170" t="n">
        <v>296</v>
      </c>
      <c r="J111" s="170" t="n">
        <v>10</v>
      </c>
      <c r="K111" s="170" t="n">
        <v>69</v>
      </c>
      <c r="L111" s="170" t="n">
        <v>2</v>
      </c>
      <c r="M111" s="170" t="n">
        <v>26</v>
      </c>
      <c r="N111" s="170" t="n">
        <v>5</v>
      </c>
      <c r="O111" s="142" t="inlineStr">
        <is>
          <t>["white pepper", "ground white pepper"]</t>
        </is>
      </c>
      <c r="P111" s="142" t="inlineStr">
        <is>
          <t>{"tsp": 2.4, "tbsp": 7.2}</t>
        </is>
      </c>
      <c r="Q111" s="142" t="inlineStr">
        <is>
          <t>Generic reference – verify</t>
        </is>
      </c>
      <c r="R111" s="142" t="inlineStr"/>
      <c r="S111" s="142" t="inlineStr"/>
      <c r="T111" s="142" t="b">
        <v>0</v>
      </c>
      <c r="U111" s="142" t="inlineStr">
        <is>
          <t>Generic reference estimate; verify against the product label or a confirmed food-composition record.</t>
        </is>
      </c>
      <c r="V111" s="171" t="n">
        <v>46223.89583333334</v>
      </c>
    </row>
    <row r="112">
      <c r="A112" s="142" t="inlineStr">
        <is>
          <t>ING111</t>
        </is>
      </c>
      <c r="B112" s="142" t="inlineStr">
        <is>
          <t>Coconut oil</t>
        </is>
      </c>
      <c r="C112" s="142" t="inlineStr"/>
      <c r="D112" s="142" t="inlineStr">
        <is>
          <t>liquid</t>
        </is>
      </c>
      <c r="E112" s="142" t="inlineStr">
        <is>
          <t>100 g</t>
        </is>
      </c>
      <c r="F112" s="170" t="n">
        <v>100</v>
      </c>
      <c r="G112" s="170" t="inlineStr">
        <is>
          <t>g</t>
        </is>
      </c>
      <c r="H112" s="170" t="n">
        <v>0.92</v>
      </c>
      <c r="I112" s="170" t="n">
        <v>892</v>
      </c>
      <c r="J112" s="170" t="n">
        <v>0</v>
      </c>
      <c r="K112" s="170" t="n">
        <v>0</v>
      </c>
      <c r="L112" s="170" t="n">
        <v>100</v>
      </c>
      <c r="M112" s="170" t="n">
        <v>0</v>
      </c>
      <c r="N112" s="170" t="n">
        <v>0</v>
      </c>
      <c r="O112" s="142" t="inlineStr">
        <is>
          <t>["coconut oil", "virgin coconut oil"]</t>
        </is>
      </c>
      <c r="P112" s="142" t="inlineStr">
        <is>
          <t>{"tbsp": 13.6, "tsp": 4.5, "cup": 218}</t>
        </is>
      </c>
      <c r="Q112" s="142" t="inlineStr">
        <is>
          <t>Generic reference – verify</t>
        </is>
      </c>
      <c r="R112" s="142" t="inlineStr"/>
      <c r="S112" s="142" t="inlineStr"/>
      <c r="T112" s="142" t="b">
        <v>0</v>
      </c>
      <c r="U112" s="142" t="inlineStr">
        <is>
          <t>Generic reference estimate; verify against the product label or a confirmed food-composition record.</t>
        </is>
      </c>
      <c r="V112" s="171" t="n">
        <v>46223.89583333334</v>
      </c>
    </row>
    <row r="113">
      <c r="A113" s="142" t="inlineStr">
        <is>
          <t>ING112</t>
        </is>
      </c>
      <c r="B113" s="142" t="inlineStr">
        <is>
          <t>Ghee</t>
        </is>
      </c>
      <c r="C113" s="142" t="inlineStr"/>
      <c r="D113" s="142" t="inlineStr">
        <is>
          <t>packaged</t>
        </is>
      </c>
      <c r="E113" s="142" t="inlineStr">
        <is>
          <t>100 g</t>
        </is>
      </c>
      <c r="F113" s="170" t="n">
        <v>100</v>
      </c>
      <c r="G113" s="170" t="inlineStr">
        <is>
          <t>g</t>
        </is>
      </c>
      <c r="H113" s="170" t="inlineStr"/>
      <c r="I113" s="170" t="n">
        <v>900</v>
      </c>
      <c r="J113" s="170" t="n">
        <v>0</v>
      </c>
      <c r="K113" s="170" t="n">
        <v>0</v>
      </c>
      <c r="L113" s="170" t="n">
        <v>100</v>
      </c>
      <c r="M113" s="170" t="n">
        <v>0</v>
      </c>
      <c r="N113" s="170" t="n">
        <v>0</v>
      </c>
      <c r="O113" s="142" t="inlineStr">
        <is>
          <t>["clarified butter", "ghee"]</t>
        </is>
      </c>
      <c r="P113" s="142" t="inlineStr">
        <is>
          <t>{"tbsp": 14, "tsp": 4.7, "cup": 224}</t>
        </is>
      </c>
      <c r="Q113" s="142" t="inlineStr">
        <is>
          <t>Generic reference – verify</t>
        </is>
      </c>
      <c r="R113" s="142" t="inlineStr"/>
      <c r="S113" s="142" t="inlineStr"/>
      <c r="T113" s="142" t="b">
        <v>0</v>
      </c>
      <c r="U113" s="142" t="inlineStr">
        <is>
          <t>Generic reference estimate; verify against the product label or a confirmed food-composition record.</t>
        </is>
      </c>
      <c r="V113" s="171" t="n">
        <v>46223.89583333334</v>
      </c>
    </row>
    <row r="114">
      <c r="A114" s="142" t="inlineStr">
        <is>
          <t>ING113</t>
        </is>
      </c>
      <c r="B114" s="142" t="inlineStr">
        <is>
          <t>Apple cider vinegar</t>
        </is>
      </c>
      <c r="C114" s="142" t="inlineStr"/>
      <c r="D114" s="142" t="inlineStr">
        <is>
          <t>liquid</t>
        </is>
      </c>
      <c r="E114" s="142" t="inlineStr">
        <is>
          <t>100 g</t>
        </is>
      </c>
      <c r="F114" s="170" t="n">
        <v>100</v>
      </c>
      <c r="G114" s="170" t="inlineStr">
        <is>
          <t>g</t>
        </is>
      </c>
      <c r="H114" s="170" t="n">
        <v>1.01</v>
      </c>
      <c r="I114" s="170" t="n">
        <v>21</v>
      </c>
      <c r="J114" s="170" t="n">
        <v>0</v>
      </c>
      <c r="K114" s="170" t="n">
        <v>0.9</v>
      </c>
      <c r="L114" s="170" t="n">
        <v>0</v>
      </c>
      <c r="M114" s="170" t="n">
        <v>0</v>
      </c>
      <c r="N114" s="170" t="n">
        <v>5</v>
      </c>
      <c r="O114" s="142" t="inlineStr">
        <is>
          <t>["cider vinegar", "apple cider vinegar", "acv"]</t>
        </is>
      </c>
      <c r="P114" s="142" t="inlineStr">
        <is>
          <t>{"cup": 240, "tbsp": 15, "tsp": 5}</t>
        </is>
      </c>
      <c r="Q114" s="142" t="inlineStr">
        <is>
          <t>Generic reference – verify</t>
        </is>
      </c>
      <c r="R114" s="142" t="inlineStr"/>
      <c r="S114" s="142" t="inlineStr"/>
      <c r="T114" s="142" t="b">
        <v>0</v>
      </c>
      <c r="U114" s="142" t="inlineStr">
        <is>
          <t>Generic reference estimate; verify against the product label or a confirmed food-composition record.</t>
        </is>
      </c>
      <c r="V114" s="171" t="n">
        <v>46223.89583333334</v>
      </c>
    </row>
    <row r="115">
      <c r="A115" s="142" t="inlineStr">
        <is>
          <t>ING114</t>
        </is>
      </c>
      <c r="B115" s="142" t="inlineStr">
        <is>
          <t>White vinegar</t>
        </is>
      </c>
      <c r="C115" s="142" t="inlineStr"/>
      <c r="D115" s="142" t="inlineStr">
        <is>
          <t>liquid</t>
        </is>
      </c>
      <c r="E115" s="142" t="inlineStr">
        <is>
          <t>100 g</t>
        </is>
      </c>
      <c r="F115" s="170" t="n">
        <v>100</v>
      </c>
      <c r="G115" s="170" t="inlineStr">
        <is>
          <t>g</t>
        </is>
      </c>
      <c r="H115" s="170" t="n">
        <v>1.01</v>
      </c>
      <c r="I115" s="170" t="n">
        <v>18</v>
      </c>
      <c r="J115" s="170" t="n">
        <v>0</v>
      </c>
      <c r="K115" s="170" t="n">
        <v>0</v>
      </c>
      <c r="L115" s="170" t="n">
        <v>0</v>
      </c>
      <c r="M115" s="170" t="n">
        <v>0</v>
      </c>
      <c r="N115" s="170" t="n">
        <v>2</v>
      </c>
      <c r="O115" s="142" t="inlineStr">
        <is>
          <t>["plain white vinegar", "distilled vinegar", "white wine vinegar"]</t>
        </is>
      </c>
      <c r="P115" s="142" t="inlineStr">
        <is>
          <t>{"cup": 240, "tbsp": 15, "tsp": 5}</t>
        </is>
      </c>
      <c r="Q115" s="142" t="inlineStr">
        <is>
          <t>Generic reference – verify</t>
        </is>
      </c>
      <c r="R115" s="142" t="inlineStr"/>
      <c r="S115" s="142" t="inlineStr"/>
      <c r="T115" s="142" t="b">
        <v>0</v>
      </c>
      <c r="U115" s="142" t="inlineStr">
        <is>
          <t>Generic reference estimate; verify against the product label or a confirmed food-composition record.</t>
        </is>
      </c>
      <c r="V115" s="171" t="n">
        <v>46223.89583333334</v>
      </c>
    </row>
    <row r="116">
      <c r="A116" s="142" t="inlineStr">
        <is>
          <t>ING115</t>
        </is>
      </c>
      <c r="B116" s="142" t="inlineStr">
        <is>
          <t>Rice malt syrup</t>
        </is>
      </c>
      <c r="C116" s="142" t="inlineStr"/>
      <c r="D116" s="142" t="inlineStr">
        <is>
          <t>liquid</t>
        </is>
      </c>
      <c r="E116" s="142" t="inlineStr">
        <is>
          <t>100 g</t>
        </is>
      </c>
      <c r="F116" s="170" t="n">
        <v>100</v>
      </c>
      <c r="G116" s="170" t="inlineStr">
        <is>
          <t>g</t>
        </is>
      </c>
      <c r="H116" s="170" t="n">
        <v>1.4</v>
      </c>
      <c r="I116" s="170" t="n">
        <v>315</v>
      </c>
      <c r="J116" s="170" t="n">
        <v>0</v>
      </c>
      <c r="K116" s="170" t="n">
        <v>79</v>
      </c>
      <c r="L116" s="170" t="n">
        <v>0</v>
      </c>
      <c r="M116" s="170" t="n">
        <v>0</v>
      </c>
      <c r="N116" s="170" t="n">
        <v>35</v>
      </c>
      <c r="O116" s="142" t="inlineStr">
        <is>
          <t>["brown rice syrup", "rice syrup", "rice malt syrup"]</t>
        </is>
      </c>
      <c r="P116" s="142" t="inlineStr">
        <is>
          <t>{"tbsp": 21, "tsp": 7, "cup": 336}</t>
        </is>
      </c>
      <c r="Q116" s="142" t="inlineStr">
        <is>
          <t>Generic reference – verify</t>
        </is>
      </c>
      <c r="R116" s="142" t="inlineStr"/>
      <c r="S116" s="142" t="inlineStr"/>
      <c r="T116" s="142" t="b">
        <v>0</v>
      </c>
      <c r="U116" s="142" t="inlineStr">
        <is>
          <t>Generic reference estimate; verify against the product label or a confirmed food-composition record.</t>
        </is>
      </c>
      <c r="V116" s="171" t="n">
        <v>46223.89583333334</v>
      </c>
    </row>
    <row r="117">
      <c r="A117" s="142" t="inlineStr">
        <is>
          <t>ING116</t>
        </is>
      </c>
      <c r="B117" s="142" t="inlineStr">
        <is>
          <t>Coconut cream</t>
        </is>
      </c>
      <c r="C117" s="142" t="inlineStr"/>
      <c r="D117" s="142" t="inlineStr">
        <is>
          <t>packaged</t>
        </is>
      </c>
      <c r="E117" s="142" t="inlineStr">
        <is>
          <t>100 g</t>
        </is>
      </c>
      <c r="F117" s="170" t="n">
        <v>100</v>
      </c>
      <c r="G117" s="170" t="inlineStr">
        <is>
          <t>g</t>
        </is>
      </c>
      <c r="H117" s="170" t="inlineStr"/>
      <c r="I117" s="170" t="n">
        <v>330</v>
      </c>
      <c r="J117" s="170" t="n">
        <v>3.6</v>
      </c>
      <c r="K117" s="170" t="n">
        <v>6.7</v>
      </c>
      <c r="L117" s="170" t="n">
        <v>35</v>
      </c>
      <c r="M117" s="170" t="n">
        <v>2.2</v>
      </c>
      <c r="N117" s="170" t="n">
        <v>18</v>
      </c>
      <c r="O117" s="142" t="inlineStr">
        <is>
          <t>["coconut cream", "thick coconut cream"]</t>
        </is>
      </c>
      <c r="P117" s="142" t="inlineStr">
        <is>
          <t>{"cup": 240, "tbsp": 15, "can": 400}</t>
        </is>
      </c>
      <c r="Q117" s="142" t="inlineStr">
        <is>
          <t>Generic reference – verify</t>
        </is>
      </c>
      <c r="R117" s="142" t="inlineStr"/>
      <c r="S117" s="142" t="inlineStr"/>
      <c r="T117" s="142" t="b">
        <v>0</v>
      </c>
      <c r="U117" s="142" t="inlineStr">
        <is>
          <t>Generic reference estimate; verify against the product label or a confirmed food-composition record.</t>
        </is>
      </c>
      <c r="V117" s="171" t="n">
        <v>46223.89583333334</v>
      </c>
    </row>
    <row r="118">
      <c r="A118" s="142" t="inlineStr">
        <is>
          <t>ING117</t>
        </is>
      </c>
      <c r="B118" s="142" t="inlineStr">
        <is>
          <t>Almond meal</t>
        </is>
      </c>
      <c r="C118" s="142" t="inlineStr"/>
      <c r="D118" s="142" t="inlineStr">
        <is>
          <t>dry</t>
        </is>
      </c>
      <c r="E118" s="142" t="inlineStr">
        <is>
          <t>100 g</t>
        </is>
      </c>
      <c r="F118" s="170" t="n">
        <v>100</v>
      </c>
      <c r="G118" s="170" t="inlineStr">
        <is>
          <t>g</t>
        </is>
      </c>
      <c r="H118" s="170" t="inlineStr"/>
      <c r="I118" s="170" t="n">
        <v>571</v>
      </c>
      <c r="J118" s="170" t="n">
        <v>21</v>
      </c>
      <c r="K118" s="170" t="n">
        <v>21</v>
      </c>
      <c r="L118" s="170" t="n">
        <v>50</v>
      </c>
      <c r="M118" s="170" t="n">
        <v>11</v>
      </c>
      <c r="N118" s="170" t="n">
        <v>1</v>
      </c>
      <c r="O118" s="142" t="inlineStr">
        <is>
          <t>["almond flour", "ground almonds", "almond meal"]</t>
        </is>
      </c>
      <c r="P118" s="142" t="inlineStr">
        <is>
          <t>{"cup": 96, "tbsp": 6}</t>
        </is>
      </c>
      <c r="Q118" s="142" t="inlineStr">
        <is>
          <t>Generic reference – verify</t>
        </is>
      </c>
      <c r="R118" s="142" t="inlineStr"/>
      <c r="S118" s="142" t="inlineStr"/>
      <c r="T118" s="142" t="b">
        <v>0</v>
      </c>
      <c r="U118" s="142" t="inlineStr">
        <is>
          <t>Generic reference estimate; verify against the product label or a confirmed food-composition record.</t>
        </is>
      </c>
      <c r="V118" s="171" t="n">
        <v>46223.89583333334</v>
      </c>
    </row>
    <row r="119">
      <c r="A119" s="142" t="inlineStr">
        <is>
          <t>ING118</t>
        </is>
      </c>
      <c r="B119" s="142" t="inlineStr">
        <is>
          <t>Buckwheat flour</t>
        </is>
      </c>
      <c r="C119" s="142" t="inlineStr"/>
      <c r="D119" s="142" t="inlineStr">
        <is>
          <t>dry</t>
        </is>
      </c>
      <c r="E119" s="142" t="inlineStr">
        <is>
          <t>100 g</t>
        </is>
      </c>
      <c r="F119" s="170" t="n">
        <v>100</v>
      </c>
      <c r="G119" s="170" t="inlineStr">
        <is>
          <t>g</t>
        </is>
      </c>
      <c r="H119" s="170" t="inlineStr"/>
      <c r="I119" s="170" t="n">
        <v>335</v>
      </c>
      <c r="J119" s="170" t="n">
        <v>13</v>
      </c>
      <c r="K119" s="170" t="n">
        <v>71</v>
      </c>
      <c r="L119" s="170" t="n">
        <v>3.1</v>
      </c>
      <c r="M119" s="170" t="n">
        <v>10</v>
      </c>
      <c r="N119" s="170" t="n">
        <v>11</v>
      </c>
      <c r="O119" s="142" t="inlineStr">
        <is>
          <t>["buckwheat flour"]</t>
        </is>
      </c>
      <c r="P119" s="142" t="inlineStr">
        <is>
          <t>{"cup": 120, "tbsp": 7.5}</t>
        </is>
      </c>
      <c r="Q119" s="142" t="inlineStr">
        <is>
          <t>Generic reference – verify</t>
        </is>
      </c>
      <c r="R119" s="142" t="inlineStr"/>
      <c r="S119" s="142" t="inlineStr"/>
      <c r="T119" s="142" t="b">
        <v>0</v>
      </c>
      <c r="U119" s="142" t="inlineStr">
        <is>
          <t>Generic reference estimate; verify against the product label or a confirmed food-composition record.</t>
        </is>
      </c>
      <c r="V119" s="171" t="n">
        <v>46223.89583333334</v>
      </c>
    </row>
    <row r="120">
      <c r="A120" s="142" t="inlineStr">
        <is>
          <t>ING119</t>
        </is>
      </c>
      <c r="B120" s="142" t="inlineStr">
        <is>
          <t>Buckwheat groats, dry</t>
        </is>
      </c>
      <c r="C120" s="142" t="inlineStr"/>
      <c r="D120" s="142" t="inlineStr">
        <is>
          <t>dry</t>
        </is>
      </c>
      <c r="E120" s="142" t="inlineStr">
        <is>
          <t>100 g</t>
        </is>
      </c>
      <c r="F120" s="170" t="n">
        <v>100</v>
      </c>
      <c r="G120" s="170" t="inlineStr">
        <is>
          <t>g</t>
        </is>
      </c>
      <c r="H120" s="170" t="inlineStr"/>
      <c r="I120" s="170" t="n">
        <v>343</v>
      </c>
      <c r="J120" s="170" t="n">
        <v>13.3</v>
      </c>
      <c r="K120" s="170" t="n">
        <v>71.5</v>
      </c>
      <c r="L120" s="170" t="n">
        <v>3.4</v>
      </c>
      <c r="M120" s="170" t="n">
        <v>10</v>
      </c>
      <c r="N120" s="170" t="n">
        <v>1</v>
      </c>
      <c r="O120" s="142" t="inlineStr">
        <is>
          <t>["buckwheat groats", "groaties", "activated groaties"]</t>
        </is>
      </c>
      <c r="P120" s="142" t="inlineStr">
        <is>
          <t>{"cup": 170}</t>
        </is>
      </c>
      <c r="Q120" s="142" t="inlineStr">
        <is>
          <t>Generic reference – verify</t>
        </is>
      </c>
      <c r="R120" s="142" t="inlineStr"/>
      <c r="S120" s="142" t="inlineStr"/>
      <c r="T120" s="142" t="b">
        <v>0</v>
      </c>
      <c r="U120" s="142" t="inlineStr">
        <is>
          <t>Generic reference estimate; verify against the product label or a confirmed food-composition record.</t>
        </is>
      </c>
      <c r="V120" s="171" t="n">
        <v>46223.89583333334</v>
      </c>
    </row>
    <row r="121">
      <c r="A121" s="142" t="inlineStr">
        <is>
          <t>ING120</t>
        </is>
      </c>
      <c r="B121" s="142" t="inlineStr">
        <is>
          <t>Desiccated coconut</t>
        </is>
      </c>
      <c r="C121" s="142" t="inlineStr"/>
      <c r="D121" s="142" t="inlineStr">
        <is>
          <t>dry</t>
        </is>
      </c>
      <c r="E121" s="142" t="inlineStr">
        <is>
          <t>100 g</t>
        </is>
      </c>
      <c r="F121" s="170" t="n">
        <v>100</v>
      </c>
      <c r="G121" s="170" t="inlineStr">
        <is>
          <t>g</t>
        </is>
      </c>
      <c r="H121" s="170" t="inlineStr"/>
      <c r="I121" s="170" t="n">
        <v>660</v>
      </c>
      <c r="J121" s="170" t="n">
        <v>7</v>
      </c>
      <c r="K121" s="170" t="n">
        <v>24</v>
      </c>
      <c r="L121" s="170" t="n">
        <v>65</v>
      </c>
      <c r="M121" s="170" t="n">
        <v>16</v>
      </c>
      <c r="N121" s="170" t="n">
        <v>37</v>
      </c>
      <c r="O121" s="142" t="inlineStr">
        <is>
          <t>["shredded coconut", "dried coconut", "desiccated coconut"]</t>
        </is>
      </c>
      <c r="P121" s="142" t="inlineStr">
        <is>
          <t>{"cup": 85, "tbsp": 5.3}</t>
        </is>
      </c>
      <c r="Q121" s="142" t="inlineStr">
        <is>
          <t>Generic reference – verify</t>
        </is>
      </c>
      <c r="R121" s="142" t="inlineStr"/>
      <c r="S121" s="142" t="inlineStr"/>
      <c r="T121" s="142" t="b">
        <v>0</v>
      </c>
      <c r="U121" s="142" t="inlineStr">
        <is>
          <t>Generic reference estimate; verify against the product label or a confirmed food-composition record.</t>
        </is>
      </c>
      <c r="V121" s="171" t="n">
        <v>46223.89583333334</v>
      </c>
    </row>
    <row r="122">
      <c r="A122" s="142" t="inlineStr">
        <is>
          <t>ING121</t>
        </is>
      </c>
      <c r="B122" s="142" t="inlineStr">
        <is>
          <t>Gelatin powder</t>
        </is>
      </c>
      <c r="C122" s="142" t="inlineStr"/>
      <c r="D122" s="142" t="inlineStr">
        <is>
          <t>dry</t>
        </is>
      </c>
      <c r="E122" s="142" t="inlineStr">
        <is>
          <t>100 g</t>
        </is>
      </c>
      <c r="F122" s="170" t="n">
        <v>100</v>
      </c>
      <c r="G122" s="170" t="inlineStr">
        <is>
          <t>g</t>
        </is>
      </c>
      <c r="H122" s="170" t="inlineStr"/>
      <c r="I122" s="170" t="n">
        <v>335</v>
      </c>
      <c r="J122" s="170" t="n">
        <v>86</v>
      </c>
      <c r="K122" s="170" t="n">
        <v>0</v>
      </c>
      <c r="L122" s="170" t="n">
        <v>0.1</v>
      </c>
      <c r="M122" s="170" t="n">
        <v>0</v>
      </c>
      <c r="N122" s="170" t="n">
        <v>196</v>
      </c>
      <c r="O122" s="142" t="inlineStr">
        <is>
          <t>["gelatine", "gelatin", "powdered gelatin", "powdered gelatine", "gelatine powder"]</t>
        </is>
      </c>
      <c r="P122" s="142" t="inlineStr">
        <is>
          <t>{"tbsp": 9, "tsp": 3, "packet": 7}</t>
        </is>
      </c>
      <c r="Q122" s="142" t="inlineStr">
        <is>
          <t>Generic reference – verify</t>
        </is>
      </c>
      <c r="R122" s="142" t="inlineStr"/>
      <c r="S122" s="142" t="inlineStr"/>
      <c r="T122" s="142" t="b">
        <v>0</v>
      </c>
      <c r="U122" s="142" t="inlineStr">
        <is>
          <t>Generic reference estimate; verify against the product label or a confirmed food-composition record.</t>
        </is>
      </c>
      <c r="V122" s="171" t="n">
        <v>46223.89583333334</v>
      </c>
    </row>
    <row r="123">
      <c r="A123" s="142" t="inlineStr">
        <is>
          <t>ING122</t>
        </is>
      </c>
      <c r="B123" s="142" t="inlineStr">
        <is>
          <t>Tahini</t>
        </is>
      </c>
      <c r="C123" s="142" t="inlineStr"/>
      <c r="D123" s="142" t="inlineStr">
        <is>
          <t>packaged</t>
        </is>
      </c>
      <c r="E123" s="142" t="inlineStr">
        <is>
          <t>100 g</t>
        </is>
      </c>
      <c r="F123" s="170" t="n">
        <v>100</v>
      </c>
      <c r="G123" s="170" t="inlineStr">
        <is>
          <t>g</t>
        </is>
      </c>
      <c r="H123" s="170" t="inlineStr"/>
      <c r="I123" s="170" t="n">
        <v>595</v>
      </c>
      <c r="J123" s="170" t="n">
        <v>17</v>
      </c>
      <c r="K123" s="170" t="n">
        <v>21</v>
      </c>
      <c r="L123" s="170" t="n">
        <v>54</v>
      </c>
      <c r="M123" s="170" t="n">
        <v>9.300000000000001</v>
      </c>
      <c r="N123" s="170" t="n">
        <v>115</v>
      </c>
      <c r="O123" s="142" t="inlineStr">
        <is>
          <t>["sesame paste", "tahini"]</t>
        </is>
      </c>
      <c r="P123" s="142" t="inlineStr">
        <is>
          <t>{"tbsp": 15, "tsp": 5, "cup": 240}</t>
        </is>
      </c>
      <c r="Q123" s="142" t="inlineStr">
        <is>
          <t>Generic reference – verify</t>
        </is>
      </c>
      <c r="R123" s="142" t="inlineStr"/>
      <c r="S123" s="142" t="inlineStr"/>
      <c r="T123" s="142" t="b">
        <v>0</v>
      </c>
      <c r="U123" s="142" t="inlineStr">
        <is>
          <t>Generic reference estimate; verify against the product label or a confirmed food-composition record.</t>
        </is>
      </c>
      <c r="V123" s="171" t="n">
        <v>46223.89583333334</v>
      </c>
    </row>
    <row r="124">
      <c r="A124" s="142" t="inlineStr">
        <is>
          <t>ING123</t>
        </is>
      </c>
      <c r="B124" s="142" t="inlineStr">
        <is>
          <t>Miso paste</t>
        </is>
      </c>
      <c r="C124" s="142" t="inlineStr"/>
      <c r="D124" s="142" t="inlineStr">
        <is>
          <t>packaged</t>
        </is>
      </c>
      <c r="E124" s="142" t="inlineStr">
        <is>
          <t>100 g</t>
        </is>
      </c>
      <c r="F124" s="170" t="n">
        <v>100</v>
      </c>
      <c r="G124" s="170" t="inlineStr">
        <is>
          <t>g</t>
        </is>
      </c>
      <c r="H124" s="170" t="inlineStr"/>
      <c r="I124" s="170" t="n">
        <v>199</v>
      </c>
      <c r="J124" s="170" t="n">
        <v>12</v>
      </c>
      <c r="K124" s="170" t="n">
        <v>26</v>
      </c>
      <c r="L124" s="170" t="n">
        <v>6</v>
      </c>
      <c r="M124" s="170" t="n">
        <v>5.4</v>
      </c>
      <c r="N124" s="170" t="n">
        <v>3728</v>
      </c>
      <c r="O124" s="142" t="inlineStr">
        <is>
          <t>["miso", "white miso", "red miso", "miso paste"]</t>
        </is>
      </c>
      <c r="P124" s="142" t="inlineStr">
        <is>
          <t>{"tbsp": 17, "tsp": 5.7, "cup": 275}</t>
        </is>
      </c>
      <c r="Q124" s="142" t="inlineStr">
        <is>
          <t>Generic reference – verify</t>
        </is>
      </c>
      <c r="R124" s="142" t="inlineStr"/>
      <c r="S124" s="142" t="inlineStr"/>
      <c r="T124" s="142" t="b">
        <v>0</v>
      </c>
      <c r="U124" s="142" t="inlineStr">
        <is>
          <t>Generic reference estimate; verify against the product label or a confirmed food-composition record.</t>
        </is>
      </c>
      <c r="V124" s="171" t="n">
        <v>46223.89583333334</v>
      </c>
    </row>
    <row r="125">
      <c r="A125" s="142" t="inlineStr">
        <is>
          <t>ING124</t>
        </is>
      </c>
      <c r="B125" s="142" t="inlineStr">
        <is>
          <t>Halloumi cheese</t>
        </is>
      </c>
      <c r="C125" s="142" t="inlineStr"/>
      <c r="D125" s="142" t="inlineStr">
        <is>
          <t>packaged</t>
        </is>
      </c>
      <c r="E125" s="142" t="inlineStr">
        <is>
          <t>100 g</t>
        </is>
      </c>
      <c r="F125" s="170" t="n">
        <v>100</v>
      </c>
      <c r="G125" s="170" t="inlineStr">
        <is>
          <t>g</t>
        </is>
      </c>
      <c r="H125" s="170" t="inlineStr"/>
      <c r="I125" s="170" t="n">
        <v>321</v>
      </c>
      <c r="J125" s="170" t="n">
        <v>22</v>
      </c>
      <c r="K125" s="170" t="n">
        <v>2</v>
      </c>
      <c r="L125" s="170" t="n">
        <v>25</v>
      </c>
      <c r="M125" s="170" t="n">
        <v>0</v>
      </c>
      <c r="N125" s="170" t="n">
        <v>1250</v>
      </c>
      <c r="O125" s="142" t="inlineStr">
        <is>
          <t>["halloumi", "haloumi"]</t>
        </is>
      </c>
      <c r="P125" s="142" t="inlineStr">
        <is>
          <t>{"slice": 25, "block": 225, "each": 225}</t>
        </is>
      </c>
      <c r="Q125" s="142" t="inlineStr">
        <is>
          <t>Generic reference – verify</t>
        </is>
      </c>
      <c r="R125" s="142" t="inlineStr"/>
      <c r="S125" s="142" t="inlineStr"/>
      <c r="T125" s="142" t="b">
        <v>0</v>
      </c>
      <c r="U125" s="142" t="inlineStr">
        <is>
          <t>Generic reference estimate; verify against the product label or a confirmed food-composition record.</t>
        </is>
      </c>
      <c r="V125" s="171" t="n">
        <v>46223.89583333334</v>
      </c>
    </row>
    <row r="126">
      <c r="A126" s="142" t="inlineStr">
        <is>
          <t>ING125</t>
        </is>
      </c>
      <c r="B126" s="142" t="inlineStr">
        <is>
          <t>Brussels sprouts, raw</t>
        </is>
      </c>
      <c r="C126" s="142" t="inlineStr"/>
      <c r="D126" s="142" t="inlineStr">
        <is>
          <t>raw</t>
        </is>
      </c>
      <c r="E126" s="142" t="inlineStr">
        <is>
          <t>100 g</t>
        </is>
      </c>
      <c r="F126" s="170" t="n">
        <v>100</v>
      </c>
      <c r="G126" s="170" t="inlineStr">
        <is>
          <t>g</t>
        </is>
      </c>
      <c r="H126" s="170" t="inlineStr"/>
      <c r="I126" s="170" t="n">
        <v>43</v>
      </c>
      <c r="J126" s="170" t="n">
        <v>3.4</v>
      </c>
      <c r="K126" s="170" t="n">
        <v>9</v>
      </c>
      <c r="L126" s="170" t="n">
        <v>0.3</v>
      </c>
      <c r="M126" s="170" t="n">
        <v>3.8</v>
      </c>
      <c r="N126" s="170" t="n">
        <v>25</v>
      </c>
      <c r="O126" s="142" t="inlineStr">
        <is>
          <t>["brussels sprouts", "brussel sprouts"]</t>
        </is>
      </c>
      <c r="P126" s="142" t="inlineStr">
        <is>
          <t>{"each": 19, "cup": 88}</t>
        </is>
      </c>
      <c r="Q126" s="142" t="inlineStr">
        <is>
          <t>Generic reference – verify</t>
        </is>
      </c>
      <c r="R126" s="142" t="inlineStr"/>
      <c r="S126" s="142" t="inlineStr"/>
      <c r="T126" s="142" t="b">
        <v>0</v>
      </c>
      <c r="U126" s="142" t="inlineStr">
        <is>
          <t>Generic reference estimate; verify against the product label or a confirmed food-composition record.</t>
        </is>
      </c>
      <c r="V126" s="171" t="n">
        <v>46223.89583333334</v>
      </c>
    </row>
    <row r="127">
      <c r="A127" s="142" t="inlineStr">
        <is>
          <t>ING126</t>
        </is>
      </c>
      <c r="B127" s="142" t="inlineStr">
        <is>
          <t>Leek, raw</t>
        </is>
      </c>
      <c r="C127" s="142" t="inlineStr"/>
      <c r="D127" s="142" t="inlineStr">
        <is>
          <t>raw</t>
        </is>
      </c>
      <c r="E127" s="142" t="inlineStr">
        <is>
          <t>100 g</t>
        </is>
      </c>
      <c r="F127" s="170" t="n">
        <v>100</v>
      </c>
      <c r="G127" s="170" t="inlineStr">
        <is>
          <t>g</t>
        </is>
      </c>
      <c r="H127" s="170" t="inlineStr"/>
      <c r="I127" s="170" t="n">
        <v>61</v>
      </c>
      <c r="J127" s="170" t="n">
        <v>1.5</v>
      </c>
      <c r="K127" s="170" t="n">
        <v>14</v>
      </c>
      <c r="L127" s="170" t="n">
        <v>0.3</v>
      </c>
      <c r="M127" s="170" t="n">
        <v>1.8</v>
      </c>
      <c r="N127" s="170" t="n">
        <v>20</v>
      </c>
      <c r="O127" s="142" t="inlineStr">
        <is>
          <t>["leek", "leeks"]</t>
        </is>
      </c>
      <c r="P127" s="142" t="inlineStr">
        <is>
          <t>{"each": 89, "cup": 89}</t>
        </is>
      </c>
      <c r="Q127" s="142" t="inlineStr">
        <is>
          <t>Generic reference – verify</t>
        </is>
      </c>
      <c r="R127" s="142" t="inlineStr"/>
      <c r="S127" s="142" t="inlineStr"/>
      <c r="T127" s="142" t="b">
        <v>0</v>
      </c>
      <c r="U127" s="142" t="inlineStr">
        <is>
          <t>Generic reference estimate; verify against the product label or a confirmed food-composition record.</t>
        </is>
      </c>
      <c r="V127" s="171" t="n">
        <v>46223.89583333334</v>
      </c>
    </row>
    <row r="128">
      <c r="A128" s="142" t="inlineStr">
        <is>
          <t>ING127</t>
        </is>
      </c>
      <c r="B128" s="142" t="inlineStr">
        <is>
          <t>Parsnip, raw</t>
        </is>
      </c>
      <c r="C128" s="142" t="inlineStr"/>
      <c r="D128" s="142" t="inlineStr">
        <is>
          <t>raw</t>
        </is>
      </c>
      <c r="E128" s="142" t="inlineStr">
        <is>
          <t>100 g</t>
        </is>
      </c>
      <c r="F128" s="170" t="n">
        <v>100</v>
      </c>
      <c r="G128" s="170" t="inlineStr">
        <is>
          <t>g</t>
        </is>
      </c>
      <c r="H128" s="170" t="inlineStr"/>
      <c r="I128" s="170" t="n">
        <v>75</v>
      </c>
      <c r="J128" s="170" t="n">
        <v>1.2</v>
      </c>
      <c r="K128" s="170" t="n">
        <v>18</v>
      </c>
      <c r="L128" s="170" t="n">
        <v>0.3</v>
      </c>
      <c r="M128" s="170" t="n">
        <v>4.9</v>
      </c>
      <c r="N128" s="170" t="n">
        <v>10</v>
      </c>
      <c r="O128" s="142" t="inlineStr">
        <is>
          <t>["parsnip", "parsnips"]</t>
        </is>
      </c>
      <c r="P128" s="142" t="inlineStr">
        <is>
          <t>{"each": 133, "medium": 133, "cup": 133}</t>
        </is>
      </c>
      <c r="Q128" s="142" t="inlineStr">
        <is>
          <t>Generic reference – verify</t>
        </is>
      </c>
      <c r="R128" s="142" t="inlineStr"/>
      <c r="S128" s="142" t="inlineStr"/>
      <c r="T128" s="142" t="b">
        <v>0</v>
      </c>
      <c r="U128" s="142" t="inlineStr">
        <is>
          <t>Generic reference estimate; verify against the product label or a confirmed food-composition record.</t>
        </is>
      </c>
      <c r="V128" s="171" t="n">
        <v>46223.89583333334</v>
      </c>
    </row>
    <row r="129">
      <c r="A129" s="142" t="inlineStr">
        <is>
          <t>ING128</t>
        </is>
      </c>
      <c r="B129" s="142" t="inlineStr">
        <is>
          <t>Asparagus, raw</t>
        </is>
      </c>
      <c r="C129" s="142" t="inlineStr"/>
      <c r="D129" s="142" t="inlineStr">
        <is>
          <t>raw</t>
        </is>
      </c>
      <c r="E129" s="142" t="inlineStr">
        <is>
          <t>100 g</t>
        </is>
      </c>
      <c r="F129" s="170" t="n">
        <v>100</v>
      </c>
      <c r="G129" s="170" t="inlineStr">
        <is>
          <t>g</t>
        </is>
      </c>
      <c r="H129" s="170" t="inlineStr"/>
      <c r="I129" s="170" t="n">
        <v>20</v>
      </c>
      <c r="J129" s="170" t="n">
        <v>2.2</v>
      </c>
      <c r="K129" s="170" t="n">
        <v>3.9</v>
      </c>
      <c r="L129" s="170" t="n">
        <v>0.1</v>
      </c>
      <c r="M129" s="170" t="n">
        <v>2.1</v>
      </c>
      <c r="N129" s="170" t="n">
        <v>2</v>
      </c>
      <c r="O129" s="142" t="inlineStr">
        <is>
          <t>["asparagus", "asparagus spears"]</t>
        </is>
      </c>
      <c r="P129" s="142" t="inlineStr">
        <is>
          <t>{"spear": 16, "each": 16, "bunch": 500, "cup": 134}</t>
        </is>
      </c>
      <c r="Q129" s="142" t="inlineStr">
        <is>
          <t>Generic reference – verify</t>
        </is>
      </c>
      <c r="R129" s="142" t="inlineStr"/>
      <c r="S129" s="142" t="inlineStr"/>
      <c r="T129" s="142" t="b">
        <v>0</v>
      </c>
      <c r="U129" s="142" t="inlineStr">
        <is>
          <t>Generic reference estimate; verify against the product label or a confirmed food-composition record.</t>
        </is>
      </c>
      <c r="V129" s="171" t="n">
        <v>46223.89583333334</v>
      </c>
    </row>
    <row r="130">
      <c r="A130" s="142" t="inlineStr">
        <is>
          <t>ING129</t>
        </is>
      </c>
      <c r="B130" s="142" t="inlineStr">
        <is>
          <t>Green beans, raw</t>
        </is>
      </c>
      <c r="C130" s="142" t="inlineStr"/>
      <c r="D130" s="142" t="inlineStr">
        <is>
          <t>raw</t>
        </is>
      </c>
      <c r="E130" s="142" t="inlineStr">
        <is>
          <t>100 g</t>
        </is>
      </c>
      <c r="F130" s="170" t="n">
        <v>100</v>
      </c>
      <c r="G130" s="170" t="inlineStr">
        <is>
          <t>g</t>
        </is>
      </c>
      <c r="H130" s="170" t="inlineStr"/>
      <c r="I130" s="170" t="n">
        <v>31</v>
      </c>
      <c r="J130" s="170" t="n">
        <v>1.8</v>
      </c>
      <c r="K130" s="170" t="n">
        <v>7</v>
      </c>
      <c r="L130" s="170" t="n">
        <v>0.2</v>
      </c>
      <c r="M130" s="170" t="n">
        <v>2.7</v>
      </c>
      <c r="N130" s="170" t="n">
        <v>6</v>
      </c>
      <c r="O130" s="142" t="inlineStr">
        <is>
          <t>["green beans", "string beans", "French beans"]</t>
        </is>
      </c>
      <c r="P130" s="142" t="inlineStr">
        <is>
          <t>{"cup": 100, "handful": 75}</t>
        </is>
      </c>
      <c r="Q130" s="142" t="inlineStr">
        <is>
          <t>Generic reference – verify</t>
        </is>
      </c>
      <c r="R130" s="142" t="inlineStr"/>
      <c r="S130" s="142" t="inlineStr"/>
      <c r="T130" s="142" t="b">
        <v>0</v>
      </c>
      <c r="U130" s="142" t="inlineStr">
        <is>
          <t>Generic reference estimate; verify against the product label or a confirmed food-composition record.</t>
        </is>
      </c>
      <c r="V130" s="171" t="n">
        <v>46223.89583333334</v>
      </c>
    </row>
    <row r="131">
      <c r="A131" s="142" t="inlineStr">
        <is>
          <t>ING130</t>
        </is>
      </c>
      <c r="B131" s="142" t="inlineStr">
        <is>
          <t>Raspberries, raw</t>
        </is>
      </c>
      <c r="C131" s="142" t="inlineStr"/>
      <c r="D131" s="142" t="inlineStr">
        <is>
          <t>raw</t>
        </is>
      </c>
      <c r="E131" s="142" t="inlineStr">
        <is>
          <t>100 g</t>
        </is>
      </c>
      <c r="F131" s="170" t="n">
        <v>100</v>
      </c>
      <c r="G131" s="170" t="inlineStr">
        <is>
          <t>g</t>
        </is>
      </c>
      <c r="H131" s="170" t="inlineStr"/>
      <c r="I131" s="170" t="n">
        <v>52</v>
      </c>
      <c r="J131" s="170" t="n">
        <v>1.2</v>
      </c>
      <c r="K131" s="170" t="n">
        <v>12</v>
      </c>
      <c r="L131" s="170" t="n">
        <v>0.7</v>
      </c>
      <c r="M131" s="170" t="n">
        <v>6.5</v>
      </c>
      <c r="N131" s="170" t="n">
        <v>1</v>
      </c>
      <c r="O131" s="142" t="inlineStr">
        <is>
          <t>["raspberry", "raspberries"]</t>
        </is>
      </c>
      <c r="P131" s="142" t="inlineStr">
        <is>
          <t>{"cup": 123}</t>
        </is>
      </c>
      <c r="Q131" s="142" t="inlineStr">
        <is>
          <t>Generic reference – verify</t>
        </is>
      </c>
      <c r="R131" s="142" t="inlineStr"/>
      <c r="S131" s="142" t="inlineStr"/>
      <c r="T131" s="142" t="b">
        <v>0</v>
      </c>
      <c r="U131" s="142" t="inlineStr">
        <is>
          <t>Generic reference estimate; verify against the product label or a confirmed food-composition record.</t>
        </is>
      </c>
      <c r="V131" s="171" t="n">
        <v>46223.89583333334</v>
      </c>
    </row>
    <row r="132">
      <c r="A132" s="142" t="inlineStr">
        <is>
          <t>ING131</t>
        </is>
      </c>
      <c r="B132" s="142" t="inlineStr">
        <is>
          <t>Pomegranate seeds</t>
        </is>
      </c>
      <c r="C132" s="142" t="inlineStr"/>
      <c r="D132" s="142" t="inlineStr">
        <is>
          <t>raw</t>
        </is>
      </c>
      <c r="E132" s="142" t="inlineStr">
        <is>
          <t>100 g</t>
        </is>
      </c>
      <c r="F132" s="170" t="n">
        <v>100</v>
      </c>
      <c r="G132" s="170" t="inlineStr">
        <is>
          <t>g</t>
        </is>
      </c>
      <c r="H132" s="170" t="inlineStr"/>
      <c r="I132" s="170" t="n">
        <v>83</v>
      </c>
      <c r="J132" s="170" t="n">
        <v>1.7</v>
      </c>
      <c r="K132" s="170" t="n">
        <v>19</v>
      </c>
      <c r="L132" s="170" t="n">
        <v>1.2</v>
      </c>
      <c r="M132" s="170" t="n">
        <v>4</v>
      </c>
      <c r="N132" s="170" t="n">
        <v>3</v>
      </c>
      <c r="O132" s="142" t="inlineStr">
        <is>
          <t>["pomegranate arils", "pomegranate seeds"]</t>
        </is>
      </c>
      <c r="P132" s="142" t="inlineStr">
        <is>
          <t>{"cup": 174, "tbsp": 11}</t>
        </is>
      </c>
      <c r="Q132" s="142" t="inlineStr">
        <is>
          <t>Generic reference – verify</t>
        </is>
      </c>
      <c r="R132" s="142" t="inlineStr"/>
      <c r="S132" s="142" t="inlineStr"/>
      <c r="T132" s="142" t="b">
        <v>0</v>
      </c>
      <c r="U132" s="142" t="inlineStr">
        <is>
          <t>Generic reference estimate; verify against the product label or a confirmed food-composition record.</t>
        </is>
      </c>
      <c r="V132" s="171" t="n">
        <v>46223.89583333334</v>
      </c>
    </row>
    <row r="133">
      <c r="A133" s="142" t="inlineStr">
        <is>
          <t>ING132</t>
        </is>
      </c>
      <c r="B133" s="142" t="inlineStr">
        <is>
          <t>Coconut water</t>
        </is>
      </c>
      <c r="C133" s="142" t="inlineStr"/>
      <c r="D133" s="142" t="inlineStr">
        <is>
          <t>liquid</t>
        </is>
      </c>
      <c r="E133" s="142" t="inlineStr">
        <is>
          <t>100 g</t>
        </is>
      </c>
      <c r="F133" s="170" t="n">
        <v>100</v>
      </c>
      <c r="G133" s="170" t="inlineStr">
        <is>
          <t>g</t>
        </is>
      </c>
      <c r="H133" s="170" t="n">
        <v>1</v>
      </c>
      <c r="I133" s="170" t="n">
        <v>19</v>
      </c>
      <c r="J133" s="170" t="n">
        <v>0.7</v>
      </c>
      <c r="K133" s="170" t="n">
        <v>3.7</v>
      </c>
      <c r="L133" s="170" t="n">
        <v>0.2</v>
      </c>
      <c r="M133" s="170" t="n">
        <v>1.1</v>
      </c>
      <c r="N133" s="170" t="n">
        <v>105</v>
      </c>
      <c r="O133" s="142" t="inlineStr">
        <is>
          <t>["coconut water"]</t>
        </is>
      </c>
      <c r="P133" s="142" t="inlineStr">
        <is>
          <t>{"cup": 240, "tbsp": 15}</t>
        </is>
      </c>
      <c r="Q133" s="142" t="inlineStr">
        <is>
          <t>Generic reference – verify</t>
        </is>
      </c>
      <c r="R133" s="142" t="inlineStr"/>
      <c r="S133" s="142" t="inlineStr"/>
      <c r="T133" s="142" t="b">
        <v>0</v>
      </c>
      <c r="U133" s="142" t="inlineStr">
        <is>
          <t>Generic reference estimate; verify against the product label or a confirmed food-composition record.</t>
        </is>
      </c>
      <c r="V133" s="171" t="n">
        <v>46223.89583333334</v>
      </c>
    </row>
    <row r="134">
      <c r="A134" s="142" t="inlineStr">
        <is>
          <t>ING133</t>
        </is>
      </c>
      <c r="B134" s="142" t="inlineStr">
        <is>
          <t>Almond milk, unsweetened</t>
        </is>
      </c>
      <c r="C134" s="142" t="inlineStr"/>
      <c r="D134" s="142" t="inlineStr">
        <is>
          <t>liquid</t>
        </is>
      </c>
      <c r="E134" s="142" t="inlineStr">
        <is>
          <t>100 g</t>
        </is>
      </c>
      <c r="F134" s="170" t="n">
        <v>100</v>
      </c>
      <c r="G134" s="170" t="inlineStr">
        <is>
          <t>g</t>
        </is>
      </c>
      <c r="H134" s="170" t="n">
        <v>1.02</v>
      </c>
      <c r="I134" s="170" t="n">
        <v>15</v>
      </c>
      <c r="J134" s="170" t="n">
        <v>0.6</v>
      </c>
      <c r="K134" s="170" t="n">
        <v>0.3</v>
      </c>
      <c r="L134" s="170" t="n">
        <v>1.2</v>
      </c>
      <c r="M134" s="170" t="n">
        <v>0.2</v>
      </c>
      <c r="N134" s="170" t="n">
        <v>63</v>
      </c>
      <c r="O134" s="142" t="inlineStr">
        <is>
          <t>["unsweetened almond milk", "almond milk"]</t>
        </is>
      </c>
      <c r="P134" s="142" t="inlineStr">
        <is>
          <t>{"cup": 240, "tbsp": 15}</t>
        </is>
      </c>
      <c r="Q134" s="142" t="inlineStr">
        <is>
          <t>Generic reference – verify</t>
        </is>
      </c>
      <c r="R134" s="142" t="inlineStr"/>
      <c r="S134" s="142" t="inlineStr"/>
      <c r="T134" s="142" t="b">
        <v>0</v>
      </c>
      <c r="U134" s="142" t="inlineStr">
        <is>
          <t>Generic reference estimate; verify against the product label or a confirmed food-composition record.</t>
        </is>
      </c>
      <c r="V134" s="171" t="n">
        <v>46223.89583333334</v>
      </c>
    </row>
    <row r="135">
      <c r="A135" s="142" t="inlineStr">
        <is>
          <t>ING134</t>
        </is>
      </c>
      <c r="B135" s="142" t="inlineStr">
        <is>
          <t>Orange juice</t>
        </is>
      </c>
      <c r="C135" s="142" t="inlineStr"/>
      <c r="D135" s="142" t="inlineStr">
        <is>
          <t>liquid</t>
        </is>
      </c>
      <c r="E135" s="142" t="inlineStr">
        <is>
          <t>100 g</t>
        </is>
      </c>
      <c r="F135" s="170" t="n">
        <v>100</v>
      </c>
      <c r="G135" s="170" t="inlineStr">
        <is>
          <t>g</t>
        </is>
      </c>
      <c r="H135" s="170" t="n">
        <v>1.04</v>
      </c>
      <c r="I135" s="170" t="n">
        <v>45</v>
      </c>
      <c r="J135" s="170" t="n">
        <v>0.7</v>
      </c>
      <c r="K135" s="170" t="n">
        <v>10.4</v>
      </c>
      <c r="L135" s="170" t="n">
        <v>0.2</v>
      </c>
      <c r="M135" s="170" t="n">
        <v>0.2</v>
      </c>
      <c r="N135" s="170" t="n">
        <v>1</v>
      </c>
      <c r="O135" s="142" t="inlineStr">
        <is>
          <t>["fresh orange juice", "juice of orange"]</t>
        </is>
      </c>
      <c r="P135" s="142" t="inlineStr">
        <is>
          <t>{"cup": 240, "tbsp": 15, "orange": 86, "each": 86}</t>
        </is>
      </c>
      <c r="Q135" s="142" t="inlineStr">
        <is>
          <t>Generic reference – verify</t>
        </is>
      </c>
      <c r="R135" s="142" t="inlineStr"/>
      <c r="S135" s="142" t="inlineStr"/>
      <c r="T135" s="142" t="b">
        <v>0</v>
      </c>
      <c r="U135" s="142" t="inlineStr">
        <is>
          <t>Generic reference estimate; verify against the product label or a confirmed food-composition record.</t>
        </is>
      </c>
      <c r="V135" s="171" t="n">
        <v>46223.89583333334</v>
      </c>
    </row>
    <row r="136">
      <c r="A136" s="142" t="inlineStr">
        <is>
          <t>ING135</t>
        </is>
      </c>
      <c r="B136" s="142" t="inlineStr">
        <is>
          <t>Orange zest</t>
        </is>
      </c>
      <c r="C136" s="142" t="inlineStr"/>
      <c r="D136" s="142" t="inlineStr">
        <is>
          <t>raw</t>
        </is>
      </c>
      <c r="E136" s="142" t="inlineStr">
        <is>
          <t>100 g</t>
        </is>
      </c>
      <c r="F136" s="170" t="n">
        <v>100</v>
      </c>
      <c r="G136" s="170" t="inlineStr">
        <is>
          <t>g</t>
        </is>
      </c>
      <c r="H136" s="170" t="inlineStr"/>
      <c r="I136" s="170" t="n">
        <v>97</v>
      </c>
      <c r="J136" s="170" t="n">
        <v>1.5</v>
      </c>
      <c r="K136" s="170" t="n">
        <v>25</v>
      </c>
      <c r="L136" s="170" t="n">
        <v>0.2</v>
      </c>
      <c r="M136" s="170" t="n">
        <v>10.6</v>
      </c>
      <c r="N136" s="170" t="n">
        <v>3</v>
      </c>
      <c r="O136" s="142" t="inlineStr">
        <is>
          <t>["orange peel", "zest of orange", "orange rind"]</t>
        </is>
      </c>
      <c r="P136" s="142" t="inlineStr">
        <is>
          <t>{"tsp": 2, "tbsp": 6, "orange": 6, "each": 6}</t>
        </is>
      </c>
      <c r="Q136" s="142" t="inlineStr">
        <is>
          <t>Generic reference – verify</t>
        </is>
      </c>
      <c r="R136" s="142" t="inlineStr"/>
      <c r="S136" s="142" t="inlineStr"/>
      <c r="T136" s="142" t="b">
        <v>0</v>
      </c>
      <c r="U136" s="142" t="inlineStr">
        <is>
          <t>Generic reference estimate; verify against the product label or a confirmed food-composition record.</t>
        </is>
      </c>
      <c r="V136" s="171" t="n">
        <v>46223.89583333334</v>
      </c>
    </row>
    <row r="137">
      <c r="A137" s="142" t="inlineStr">
        <is>
          <t>ING136</t>
        </is>
      </c>
      <c r="B137" s="142" t="inlineStr">
        <is>
          <t>Cloves, whole</t>
        </is>
      </c>
      <c r="C137" s="142" t="inlineStr"/>
      <c r="D137" s="142" t="inlineStr">
        <is>
          <t>dry</t>
        </is>
      </c>
      <c r="E137" s="142" t="inlineStr">
        <is>
          <t>100 g</t>
        </is>
      </c>
      <c r="F137" s="170" t="n">
        <v>100</v>
      </c>
      <c r="G137" s="170" t="inlineStr">
        <is>
          <t>g</t>
        </is>
      </c>
      <c r="H137" s="170" t="inlineStr"/>
      <c r="I137" s="170" t="n">
        <v>274</v>
      </c>
      <c r="J137" s="170" t="n">
        <v>6</v>
      </c>
      <c r="K137" s="170" t="n">
        <v>66</v>
      </c>
      <c r="L137" s="170" t="n">
        <v>13</v>
      </c>
      <c r="M137" s="170" t="n">
        <v>34</v>
      </c>
      <c r="N137" s="170" t="n">
        <v>277</v>
      </c>
      <c r="O137" s="142" t="inlineStr">
        <is>
          <t>["whole cloves", "clove spice", "cloves"]</t>
        </is>
      </c>
      <c r="P137" s="142" t="inlineStr">
        <is>
          <t>{"tsp": 2.1, "tbsp": 6.3, "each": 0.2}</t>
        </is>
      </c>
      <c r="Q137" s="142" t="inlineStr">
        <is>
          <t>Generic reference – verify</t>
        </is>
      </c>
      <c r="R137" s="142" t="inlineStr"/>
      <c r="S137" s="142" t="inlineStr"/>
      <c r="T137" s="142" t="b">
        <v>0</v>
      </c>
      <c r="U137" s="142" t="inlineStr">
        <is>
          <t>Generic reference estimate; verify against the product label or a confirmed food-composition record.</t>
        </is>
      </c>
      <c r="V137" s="171" t="n">
        <v>46223.89583333334</v>
      </c>
    </row>
    <row r="138">
      <c r="A138" s="142" t="inlineStr">
        <is>
          <t>ING137</t>
        </is>
      </c>
      <c r="B138" s="142" t="inlineStr">
        <is>
          <t>Cloves, ground</t>
        </is>
      </c>
      <c r="C138" s="142" t="inlineStr"/>
      <c r="D138" s="142" t="inlineStr">
        <is>
          <t>dry</t>
        </is>
      </c>
      <c r="E138" s="142" t="inlineStr">
        <is>
          <t>100 g</t>
        </is>
      </c>
      <c r="F138" s="170" t="n">
        <v>100</v>
      </c>
      <c r="G138" s="170" t="inlineStr">
        <is>
          <t>g</t>
        </is>
      </c>
      <c r="H138" s="170" t="inlineStr"/>
      <c r="I138" s="170" t="n">
        <v>274</v>
      </c>
      <c r="J138" s="170" t="n">
        <v>6</v>
      </c>
      <c r="K138" s="170" t="n">
        <v>66</v>
      </c>
      <c r="L138" s="170" t="n">
        <v>13</v>
      </c>
      <c r="M138" s="170" t="n">
        <v>34</v>
      </c>
      <c r="N138" s="170" t="n">
        <v>277</v>
      </c>
      <c r="O138" s="142" t="inlineStr">
        <is>
          <t>["ground cloves", "clove powder"]</t>
        </is>
      </c>
      <c r="P138" s="142" t="inlineStr">
        <is>
          <t>{"tsp": 2.1, "tbsp": 6.3}</t>
        </is>
      </c>
      <c r="Q138" s="142" t="inlineStr">
        <is>
          <t>Generic reference – verify</t>
        </is>
      </c>
      <c r="R138" s="142" t="inlineStr"/>
      <c r="S138" s="142" t="inlineStr"/>
      <c r="T138" s="142" t="b">
        <v>0</v>
      </c>
      <c r="U138" s="142" t="inlineStr">
        <is>
          <t>Generic reference estimate; verify against the product label or a confirmed food-composition record.</t>
        </is>
      </c>
      <c r="V138" s="171" t="n">
        <v>46223.89583333334</v>
      </c>
    </row>
    <row r="139">
      <c r="A139" s="142" t="inlineStr">
        <is>
          <t>ING138</t>
        </is>
      </c>
      <c r="B139" s="142" t="inlineStr">
        <is>
          <t>Nutmeg, ground</t>
        </is>
      </c>
      <c r="C139" s="142" t="inlineStr"/>
      <c r="D139" s="142" t="inlineStr">
        <is>
          <t>dry</t>
        </is>
      </c>
      <c r="E139" s="142" t="inlineStr">
        <is>
          <t>100 g</t>
        </is>
      </c>
      <c r="F139" s="170" t="n">
        <v>100</v>
      </c>
      <c r="G139" s="170" t="inlineStr">
        <is>
          <t>g</t>
        </is>
      </c>
      <c r="H139" s="170" t="inlineStr"/>
      <c r="I139" s="170" t="n">
        <v>525</v>
      </c>
      <c r="J139" s="170" t="n">
        <v>6</v>
      </c>
      <c r="K139" s="170" t="n">
        <v>49</v>
      </c>
      <c r="L139" s="170" t="n">
        <v>36</v>
      </c>
      <c r="M139" s="170" t="n">
        <v>21</v>
      </c>
      <c r="N139" s="170" t="n">
        <v>16</v>
      </c>
      <c r="O139" s="142" t="inlineStr">
        <is>
          <t>["nutmeg", "ground nutmeg"]</t>
        </is>
      </c>
      <c r="P139" s="142" t="inlineStr">
        <is>
          <t>{"tsp": 2.2, "tbsp": 6.6}</t>
        </is>
      </c>
      <c r="Q139" s="142" t="inlineStr">
        <is>
          <t>Generic reference – verify</t>
        </is>
      </c>
      <c r="R139" s="142" t="inlineStr"/>
      <c r="S139" s="142" t="inlineStr"/>
      <c r="T139" s="142" t="b">
        <v>0</v>
      </c>
      <c r="U139" s="142" t="inlineStr">
        <is>
          <t>Generic reference estimate; verify against the product label or a confirmed food-composition record.</t>
        </is>
      </c>
      <c r="V139" s="171" t="n">
        <v>46223.89583333334</v>
      </c>
    </row>
    <row r="140">
      <c r="A140" s="142" t="inlineStr">
        <is>
          <t>ING139</t>
        </is>
      </c>
      <c r="B140" s="142" t="inlineStr">
        <is>
          <t>Cardamom, ground</t>
        </is>
      </c>
      <c r="C140" s="142" t="inlineStr"/>
      <c r="D140" s="142" t="inlineStr">
        <is>
          <t>dry</t>
        </is>
      </c>
      <c r="E140" s="142" t="inlineStr">
        <is>
          <t>100 g</t>
        </is>
      </c>
      <c r="F140" s="170" t="n">
        <v>100</v>
      </c>
      <c r="G140" s="170" t="inlineStr">
        <is>
          <t>g</t>
        </is>
      </c>
      <c r="H140" s="170" t="inlineStr"/>
      <c r="I140" s="170" t="n">
        <v>311</v>
      </c>
      <c r="J140" s="170" t="n">
        <v>11</v>
      </c>
      <c r="K140" s="170" t="n">
        <v>68</v>
      </c>
      <c r="L140" s="170" t="n">
        <v>7</v>
      </c>
      <c r="M140" s="170" t="n">
        <v>28</v>
      </c>
      <c r="N140" s="170" t="n">
        <v>18</v>
      </c>
      <c r="O140" s="142" t="inlineStr">
        <is>
          <t>["cardamom", "ground cardamom"]</t>
        </is>
      </c>
      <c r="P140" s="142" t="inlineStr">
        <is>
          <t>{"tsp": 2, "tbsp": 6}</t>
        </is>
      </c>
      <c r="Q140" s="142" t="inlineStr">
        <is>
          <t>Generic reference – verify</t>
        </is>
      </c>
      <c r="R140" s="142" t="inlineStr"/>
      <c r="S140" s="142" t="inlineStr"/>
      <c r="T140" s="142" t="b">
        <v>0</v>
      </c>
      <c r="U140" s="142" t="inlineStr">
        <is>
          <t>Generic reference estimate; verify against the product label or a confirmed food-composition record.</t>
        </is>
      </c>
      <c r="V140" s="171" t="n">
        <v>46223.89583333334</v>
      </c>
    </row>
    <row r="141">
      <c r="A141" s="142" t="inlineStr">
        <is>
          <t>ING140</t>
        </is>
      </c>
      <c r="B141" s="142" t="inlineStr">
        <is>
          <t>Allspice, ground</t>
        </is>
      </c>
      <c r="C141" s="142" t="inlineStr"/>
      <c r="D141" s="142" t="inlineStr">
        <is>
          <t>dry</t>
        </is>
      </c>
      <c r="E141" s="142" t="inlineStr">
        <is>
          <t>100 g</t>
        </is>
      </c>
      <c r="F141" s="170" t="n">
        <v>100</v>
      </c>
      <c r="G141" s="170" t="inlineStr">
        <is>
          <t>g</t>
        </is>
      </c>
      <c r="H141" s="170" t="inlineStr"/>
      <c r="I141" s="170" t="n">
        <v>263</v>
      </c>
      <c r="J141" s="170" t="n">
        <v>6</v>
      </c>
      <c r="K141" s="170" t="n">
        <v>72</v>
      </c>
      <c r="L141" s="170" t="n">
        <v>9</v>
      </c>
      <c r="M141" s="170" t="n">
        <v>22</v>
      </c>
      <c r="N141" s="170" t="n">
        <v>77</v>
      </c>
      <c r="O141" s="142" t="inlineStr">
        <is>
          <t>["allspice", "ground allspice"]</t>
        </is>
      </c>
      <c r="P141" s="142" t="inlineStr">
        <is>
          <t>{"tsp": 2, "tbsp": 6}</t>
        </is>
      </c>
      <c r="Q141" s="142" t="inlineStr">
        <is>
          <t>Generic reference – verify</t>
        </is>
      </c>
      <c r="R141" s="142" t="inlineStr"/>
      <c r="S141" s="142" t="inlineStr"/>
      <c r="T141" s="142" t="b">
        <v>0</v>
      </c>
      <c r="U141" s="142" t="inlineStr">
        <is>
          <t>Generic reference estimate; verify against the product label or a confirmed food-composition record.</t>
        </is>
      </c>
      <c r="V141" s="171" t="n">
        <v>46223.89583333334</v>
      </c>
    </row>
    <row r="142">
      <c r="A142" s="142" t="inlineStr">
        <is>
          <t>ING141</t>
        </is>
      </c>
      <c r="B142" s="142" t="inlineStr">
        <is>
          <t>Turmeric, ground</t>
        </is>
      </c>
      <c r="C142" s="142" t="inlineStr"/>
      <c r="D142" s="142" t="inlineStr">
        <is>
          <t>dry</t>
        </is>
      </c>
      <c r="E142" s="142" t="inlineStr">
        <is>
          <t>100 g</t>
        </is>
      </c>
      <c r="F142" s="170" t="n">
        <v>100</v>
      </c>
      <c r="G142" s="170" t="inlineStr">
        <is>
          <t>g</t>
        </is>
      </c>
      <c r="H142" s="170" t="inlineStr"/>
      <c r="I142" s="170" t="n">
        <v>312</v>
      </c>
      <c r="J142" s="170" t="n">
        <v>9.699999999999999</v>
      </c>
      <c r="K142" s="170" t="n">
        <v>67</v>
      </c>
      <c r="L142" s="170" t="n">
        <v>3.3</v>
      </c>
      <c r="M142" s="170" t="n">
        <v>22.7</v>
      </c>
      <c r="N142" s="170" t="n">
        <v>27</v>
      </c>
      <c r="O142" s="142" t="inlineStr">
        <is>
          <t>["turmeric", "ground turmeric", "turmeric powder"]</t>
        </is>
      </c>
      <c r="P142" s="142" t="inlineStr">
        <is>
          <t>{"tsp": 3, "tbsp": 9}</t>
        </is>
      </c>
      <c r="Q142" s="142" t="inlineStr">
        <is>
          <t>Generic reference – verify</t>
        </is>
      </c>
      <c r="R142" s="142" t="inlineStr"/>
      <c r="S142" s="142" t="inlineStr"/>
      <c r="T142" s="142" t="b">
        <v>0</v>
      </c>
      <c r="U142" s="142" t="inlineStr">
        <is>
          <t>Generic reference estimate; verify against the product label or a confirmed food-composition record.</t>
        </is>
      </c>
      <c r="V142" s="171" t="n">
        <v>46223.89583333334</v>
      </c>
    </row>
    <row r="143">
      <c r="A143" s="142" t="inlineStr">
        <is>
          <t>ING142</t>
        </is>
      </c>
      <c r="B143" s="142" t="inlineStr">
        <is>
          <t>Fennel seeds</t>
        </is>
      </c>
      <c r="C143" s="142" t="inlineStr"/>
      <c r="D143" s="142" t="inlineStr">
        <is>
          <t>dry</t>
        </is>
      </c>
      <c r="E143" s="142" t="inlineStr">
        <is>
          <t>100 g</t>
        </is>
      </c>
      <c r="F143" s="170" t="n">
        <v>100</v>
      </c>
      <c r="G143" s="170" t="inlineStr">
        <is>
          <t>g</t>
        </is>
      </c>
      <c r="H143" s="170" t="inlineStr"/>
      <c r="I143" s="170" t="n">
        <v>345</v>
      </c>
      <c r="J143" s="170" t="n">
        <v>15.8</v>
      </c>
      <c r="K143" s="170" t="n">
        <v>52</v>
      </c>
      <c r="L143" s="170" t="n">
        <v>14.9</v>
      </c>
      <c r="M143" s="170" t="n">
        <v>39.8</v>
      </c>
      <c r="N143" s="170" t="n">
        <v>88</v>
      </c>
      <c r="O143" s="142" t="inlineStr">
        <is>
          <t>["fennel seed", "fennel seeds"]</t>
        </is>
      </c>
      <c r="P143" s="142" t="inlineStr">
        <is>
          <t>{"tsp": 2, "tbsp": 6}</t>
        </is>
      </c>
      <c r="Q143" s="142" t="inlineStr">
        <is>
          <t>Generic reference – verify</t>
        </is>
      </c>
      <c r="R143" s="142" t="inlineStr"/>
      <c r="S143" s="142" t="inlineStr"/>
      <c r="T143" s="142" t="b">
        <v>0</v>
      </c>
      <c r="U143" s="142" t="inlineStr">
        <is>
          <t>Generic reference estimate; verify against the product label or a confirmed food-composition record.</t>
        </is>
      </c>
      <c r="V143" s="171" t="n">
        <v>46223.89583333334</v>
      </c>
    </row>
    <row r="144">
      <c r="A144" s="142" t="inlineStr">
        <is>
          <t>ING143</t>
        </is>
      </c>
      <c r="B144" s="142" t="inlineStr">
        <is>
          <t>Fish sauce</t>
        </is>
      </c>
      <c r="C144" s="142" t="inlineStr"/>
      <c r="D144" s="142" t="inlineStr">
        <is>
          <t>liquid</t>
        </is>
      </c>
      <c r="E144" s="142" t="inlineStr">
        <is>
          <t>100 g</t>
        </is>
      </c>
      <c r="F144" s="170" t="n">
        <v>100</v>
      </c>
      <c r="G144" s="170" t="inlineStr">
        <is>
          <t>g</t>
        </is>
      </c>
      <c r="H144" s="170" t="n">
        <v>1.2</v>
      </c>
      <c r="I144" s="170" t="n">
        <v>35</v>
      </c>
      <c r="J144" s="170" t="n">
        <v>5</v>
      </c>
      <c r="K144" s="170" t="n">
        <v>3.6</v>
      </c>
      <c r="L144" s="170" t="n">
        <v>0</v>
      </c>
      <c r="M144" s="170" t="n">
        <v>0</v>
      </c>
      <c r="N144" s="170" t="n">
        <v>7851</v>
      </c>
      <c r="O144" s="142" t="inlineStr">
        <is>
          <t>["fish sauce"]</t>
        </is>
      </c>
      <c r="P144" s="142" t="inlineStr">
        <is>
          <t>{"tbsp": 18, "tsp": 6, "cup": 288}</t>
        </is>
      </c>
      <c r="Q144" s="142" t="inlineStr">
        <is>
          <t>Generic reference – verify</t>
        </is>
      </c>
      <c r="R144" s="142" t="inlineStr"/>
      <c r="S144" s="142" t="inlineStr"/>
      <c r="T144" s="142" t="b">
        <v>0</v>
      </c>
      <c r="U144" s="142" t="inlineStr">
        <is>
          <t>Generic reference estimate; verify against the product label or a confirmed food-composition record.</t>
        </is>
      </c>
      <c r="V144" s="171" t="n">
        <v>46223.89583333334</v>
      </c>
    </row>
    <row r="145">
      <c r="A145" s="142" t="inlineStr">
        <is>
          <t>ING144</t>
        </is>
      </c>
      <c r="B145" s="142" t="inlineStr">
        <is>
          <t>Chicken stock, liquid</t>
        </is>
      </c>
      <c r="C145" s="142" t="inlineStr"/>
      <c r="D145" s="142" t="inlineStr">
        <is>
          <t>liquid</t>
        </is>
      </c>
      <c r="E145" s="142" t="inlineStr">
        <is>
          <t>100 g</t>
        </is>
      </c>
      <c r="F145" s="170" t="n">
        <v>100</v>
      </c>
      <c r="G145" s="170" t="inlineStr">
        <is>
          <t>g</t>
        </is>
      </c>
      <c r="H145" s="170" t="n">
        <v>1</v>
      </c>
      <c r="I145" s="170" t="n">
        <v>6</v>
      </c>
      <c r="J145" s="170" t="n">
        <v>0.6</v>
      </c>
      <c r="K145" s="170" t="n">
        <v>0.4</v>
      </c>
      <c r="L145" s="170" t="n">
        <v>0.2</v>
      </c>
      <c r="M145" s="170" t="n">
        <v>0</v>
      </c>
      <c r="N145" s="170" t="n">
        <v>300</v>
      </c>
      <c r="O145" s="142" t="inlineStr">
        <is>
          <t>["chicken broth", "chicken stock", "homemade chicken stock"]</t>
        </is>
      </c>
      <c r="P145" s="142" t="inlineStr">
        <is>
          <t>{"cup": 240, "tbsp": 15, "l": 1000}</t>
        </is>
      </c>
      <c r="Q145" s="142" t="inlineStr">
        <is>
          <t>Generic reference – verify</t>
        </is>
      </c>
      <c r="R145" s="142" t="inlineStr"/>
      <c r="S145" s="142" t="inlineStr"/>
      <c r="T145" s="142" t="b">
        <v>0</v>
      </c>
      <c r="U145" s="142" t="inlineStr">
        <is>
          <t>Generic reference estimate; verify against the product label or a confirmed food-composition record.</t>
        </is>
      </c>
      <c r="V145" s="171" t="n">
        <v>46223.89583333334</v>
      </c>
    </row>
    <row r="146">
      <c r="A146" s="142" t="inlineStr">
        <is>
          <t>ING145</t>
        </is>
      </c>
      <c r="B146" s="142" t="inlineStr">
        <is>
          <t>Beef stock, liquid</t>
        </is>
      </c>
      <c r="C146" s="142" t="inlineStr"/>
      <c r="D146" s="142" t="inlineStr">
        <is>
          <t>liquid</t>
        </is>
      </c>
      <c r="E146" s="142" t="inlineStr">
        <is>
          <t>100 g</t>
        </is>
      </c>
      <c r="F146" s="170" t="n">
        <v>100</v>
      </c>
      <c r="G146" s="170" t="inlineStr">
        <is>
          <t>g</t>
        </is>
      </c>
      <c r="H146" s="170" t="n">
        <v>1</v>
      </c>
      <c r="I146" s="170" t="n">
        <v>7</v>
      </c>
      <c r="J146" s="170" t="n">
        <v>1.1</v>
      </c>
      <c r="K146" s="170" t="n">
        <v>0</v>
      </c>
      <c r="L146" s="170" t="n">
        <v>0.2</v>
      </c>
      <c r="M146" s="170" t="n">
        <v>0</v>
      </c>
      <c r="N146" s="170" t="n">
        <v>300</v>
      </c>
      <c r="O146" s="142" t="inlineStr">
        <is>
          <t>["beef broth", "beef stock", "homemade beef stock"]</t>
        </is>
      </c>
      <c r="P146" s="142" t="inlineStr">
        <is>
          <t>{"cup": 240, "tbsp": 15, "l": 1000}</t>
        </is>
      </c>
      <c r="Q146" s="142" t="inlineStr">
        <is>
          <t>Generic reference – verify</t>
        </is>
      </c>
      <c r="R146" s="142" t="inlineStr"/>
      <c r="S146" s="142" t="inlineStr"/>
      <c r="T146" s="142" t="b">
        <v>0</v>
      </c>
      <c r="U146" s="142" t="inlineStr">
        <is>
          <t>Generic reference estimate; verify against the product label or a confirmed food-composition record.</t>
        </is>
      </c>
      <c r="V146" s="171" t="n">
        <v>46223.89583333334</v>
      </c>
    </row>
    <row r="147">
      <c r="A147" s="142" t="inlineStr">
        <is>
          <t>ING146</t>
        </is>
      </c>
      <c r="B147" s="142" t="inlineStr">
        <is>
          <t>Vegetable stock, liquid</t>
        </is>
      </c>
      <c r="C147" s="142" t="inlineStr"/>
      <c r="D147" s="142" t="inlineStr">
        <is>
          <t>liquid</t>
        </is>
      </c>
      <c r="E147" s="142" t="inlineStr">
        <is>
          <t>100 g</t>
        </is>
      </c>
      <c r="F147" s="170" t="n">
        <v>100</v>
      </c>
      <c r="G147" s="170" t="inlineStr">
        <is>
          <t>g</t>
        </is>
      </c>
      <c r="H147" s="170" t="n">
        <v>1</v>
      </c>
      <c r="I147" s="170" t="n">
        <v>5</v>
      </c>
      <c r="J147" s="170" t="n">
        <v>0.2</v>
      </c>
      <c r="K147" s="170" t="n">
        <v>0.9</v>
      </c>
      <c r="L147" s="170" t="n">
        <v>0.1</v>
      </c>
      <c r="M147" s="170" t="n">
        <v>0</v>
      </c>
      <c r="N147" s="170" t="n">
        <v>250</v>
      </c>
      <c r="O147" s="142" t="inlineStr">
        <is>
          <t>["vegetable broth", "veggie stock", "vegetable stock"]</t>
        </is>
      </c>
      <c r="P147" s="142" t="inlineStr">
        <is>
          <t>{"cup": 240, "tbsp": 15, "l": 1000}</t>
        </is>
      </c>
      <c r="Q147" s="142" t="inlineStr">
        <is>
          <t>Generic reference – verify</t>
        </is>
      </c>
      <c r="R147" s="142" t="inlineStr"/>
      <c r="S147" s="142" t="inlineStr"/>
      <c r="T147" s="142" t="b">
        <v>0</v>
      </c>
      <c r="U147" s="142" t="inlineStr">
        <is>
          <t>Generic reference estimate; verify against the product label or a confirmed food-composition record.</t>
        </is>
      </c>
      <c r="V147" s="171" t="n">
        <v>46223.89583333334</v>
      </c>
    </row>
    <row r="148">
      <c r="A148" s="142" t="inlineStr">
        <is>
          <t>ING147</t>
        </is>
      </c>
      <c r="B148" s="142" t="inlineStr">
        <is>
          <t>Beef brisket, raw</t>
        </is>
      </c>
      <c r="C148" s="142" t="inlineStr"/>
      <c r="D148" s="142" t="inlineStr">
        <is>
          <t>raw</t>
        </is>
      </c>
      <c r="E148" s="142" t="inlineStr">
        <is>
          <t>100 g</t>
        </is>
      </c>
      <c r="F148" s="170" t="n">
        <v>100</v>
      </c>
      <c r="G148" s="170" t="inlineStr">
        <is>
          <t>g</t>
        </is>
      </c>
      <c r="H148" s="170" t="inlineStr"/>
      <c r="I148" s="170" t="n">
        <v>251</v>
      </c>
      <c r="J148" s="170" t="n">
        <v>18</v>
      </c>
      <c r="K148" s="170" t="n">
        <v>0</v>
      </c>
      <c r="L148" s="170" t="n">
        <v>20</v>
      </c>
      <c r="M148" s="170" t="n">
        <v>0</v>
      </c>
      <c r="N148" s="170" t="n">
        <v>65</v>
      </c>
      <c r="O148" s="142" t="inlineStr">
        <is>
          <t>["beef brisket", "brisket"]</t>
        </is>
      </c>
      <c r="P148" s="142" t="inlineStr">
        <is>
          <t>{"portion": 200}</t>
        </is>
      </c>
      <c r="Q148" s="142" t="inlineStr">
        <is>
          <t>Generic reference – verify</t>
        </is>
      </c>
      <c r="R148" s="142" t="inlineStr"/>
      <c r="S148" s="142" t="inlineStr"/>
      <c r="T148" s="142" t="b">
        <v>0</v>
      </c>
      <c r="U148" s="142" t="inlineStr">
        <is>
          <t>Generic reference estimate; verify against the product label or a confirmed food-composition record.</t>
        </is>
      </c>
      <c r="V148" s="171" t="n">
        <v>46223.89583333334</v>
      </c>
    </row>
    <row r="149">
      <c r="A149" s="142" t="inlineStr">
        <is>
          <t>ING148</t>
        </is>
      </c>
      <c r="B149" s="142" t="inlineStr">
        <is>
          <t>Stewing beef, raw</t>
        </is>
      </c>
      <c r="C149" s="142" t="inlineStr"/>
      <c r="D149" s="142" t="inlineStr">
        <is>
          <t>raw</t>
        </is>
      </c>
      <c r="E149" s="142" t="inlineStr">
        <is>
          <t>100 g</t>
        </is>
      </c>
      <c r="F149" s="170" t="n">
        <v>100</v>
      </c>
      <c r="G149" s="170" t="inlineStr">
        <is>
          <t>g</t>
        </is>
      </c>
      <c r="H149" s="170" t="inlineStr"/>
      <c r="I149" s="170" t="n">
        <v>190</v>
      </c>
      <c r="J149" s="170" t="n">
        <v>21</v>
      </c>
      <c r="K149" s="170" t="n">
        <v>0</v>
      </c>
      <c r="L149" s="170" t="n">
        <v>12</v>
      </c>
      <c r="M149" s="170" t="n">
        <v>0</v>
      </c>
      <c r="N149" s="170" t="n">
        <v>60</v>
      </c>
      <c r="O149" s="142" t="inlineStr">
        <is>
          <t>["stewing beef", "diced beef", "beef chunks", "chuck beef"]</t>
        </is>
      </c>
      <c r="P149" s="142" t="inlineStr">
        <is>
          <t>{"cup": 150}</t>
        </is>
      </c>
      <c r="Q149" s="142" t="inlineStr">
        <is>
          <t>Generic reference – verify</t>
        </is>
      </c>
      <c r="R149" s="142" t="inlineStr"/>
      <c r="S149" s="142" t="inlineStr"/>
      <c r="T149" s="142" t="b">
        <v>0</v>
      </c>
      <c r="U149" s="142" t="inlineStr">
        <is>
          <t>Generic reference estimate; verify against the product label or a confirmed food-composition record.</t>
        </is>
      </c>
      <c r="V149" s="171" t="n">
        <v>46223.89583333334</v>
      </c>
    </row>
    <row r="150">
      <c r="A150" s="142" t="inlineStr">
        <is>
          <t>ING149</t>
        </is>
      </c>
      <c r="B150" s="142" t="inlineStr">
        <is>
          <t>Lamb leg, raw</t>
        </is>
      </c>
      <c r="C150" s="142" t="inlineStr"/>
      <c r="D150" s="142" t="inlineStr">
        <is>
          <t>raw</t>
        </is>
      </c>
      <c r="E150" s="142" t="inlineStr">
        <is>
          <t>100 g</t>
        </is>
      </c>
      <c r="F150" s="170" t="n">
        <v>100</v>
      </c>
      <c r="G150" s="170" t="inlineStr">
        <is>
          <t>g</t>
        </is>
      </c>
      <c r="H150" s="170" t="inlineStr"/>
      <c r="I150" s="170" t="n">
        <v>183</v>
      </c>
      <c r="J150" s="170" t="n">
        <v>20</v>
      </c>
      <c r="K150" s="170" t="n">
        <v>0</v>
      </c>
      <c r="L150" s="170" t="n">
        <v>11</v>
      </c>
      <c r="M150" s="170" t="n">
        <v>0</v>
      </c>
      <c r="N150" s="170" t="n">
        <v>60</v>
      </c>
      <c r="O150" s="142" t="inlineStr">
        <is>
          <t>["lamb", "lamb leg", "diced lamb"]</t>
        </is>
      </c>
      <c r="P150" s="142" t="inlineStr">
        <is>
          <t>{"portion": 170}</t>
        </is>
      </c>
      <c r="Q150" s="142" t="inlineStr">
        <is>
          <t>Generic reference – verify</t>
        </is>
      </c>
      <c r="R150" s="142" t="inlineStr"/>
      <c r="S150" s="142" t="inlineStr"/>
      <c r="T150" s="142" t="b">
        <v>0</v>
      </c>
      <c r="U150" s="142" t="inlineStr">
        <is>
          <t>Generic reference estimate; verify against the product label or a confirmed food-composition record.</t>
        </is>
      </c>
      <c r="V150" s="171" t="n">
        <v>46223.89583333334</v>
      </c>
    </row>
    <row r="151">
      <c r="A151" s="142" t="inlineStr">
        <is>
          <t>ING150</t>
        </is>
      </c>
      <c r="B151" s="142" t="inlineStr">
        <is>
          <t>Whole chicken, raw</t>
        </is>
      </c>
      <c r="C151" s="142" t="inlineStr"/>
      <c r="D151" s="142" t="inlineStr">
        <is>
          <t>raw</t>
        </is>
      </c>
      <c r="E151" s="142" t="inlineStr">
        <is>
          <t>100 g</t>
        </is>
      </c>
      <c r="F151" s="170" t="n">
        <v>100</v>
      </c>
      <c r="G151" s="170" t="inlineStr">
        <is>
          <t>g</t>
        </is>
      </c>
      <c r="H151" s="170" t="inlineStr"/>
      <c r="I151" s="170" t="n">
        <v>215</v>
      </c>
      <c r="J151" s="170" t="n">
        <v>18.6</v>
      </c>
      <c r="K151" s="170" t="n">
        <v>0</v>
      </c>
      <c r="L151" s="170" t="n">
        <v>15</v>
      </c>
      <c r="M151" s="170" t="n">
        <v>0</v>
      </c>
      <c r="N151" s="170" t="n">
        <v>70</v>
      </c>
      <c r="O151" s="142" t="inlineStr">
        <is>
          <t>["whole chicken", "chicken carcass with meat"]</t>
        </is>
      </c>
      <c r="P151" s="142" t="inlineStr">
        <is>
          <t>{"each": 1500}</t>
        </is>
      </c>
      <c r="Q151" s="142" t="inlineStr">
        <is>
          <t>Generic reference – verify</t>
        </is>
      </c>
      <c r="R151" s="142" t="inlineStr"/>
      <c r="S151" s="142" t="inlineStr"/>
      <c r="T151" s="142" t="b">
        <v>0</v>
      </c>
      <c r="U151" s="142" t="inlineStr">
        <is>
          <t>Generic reference estimate; verify against the product label or a confirmed food-composition record.</t>
        </is>
      </c>
      <c r="V151" s="171" t="n">
        <v>46223.89583333334</v>
      </c>
    </row>
    <row r="152">
      <c r="A152" s="142" t="inlineStr">
        <is>
          <t>ING151</t>
        </is>
      </c>
      <c r="B152" s="142" t="inlineStr">
        <is>
          <t>Pork belly, raw</t>
        </is>
      </c>
      <c r="C152" s="142" t="inlineStr"/>
      <c r="D152" s="142" t="inlineStr">
        <is>
          <t>raw</t>
        </is>
      </c>
      <c r="E152" s="142" t="inlineStr">
        <is>
          <t>100 g</t>
        </is>
      </c>
      <c r="F152" s="170" t="n">
        <v>100</v>
      </c>
      <c r="G152" s="170" t="inlineStr">
        <is>
          <t>g</t>
        </is>
      </c>
      <c r="H152" s="170" t="inlineStr"/>
      <c r="I152" s="170" t="n">
        <v>518</v>
      </c>
      <c r="J152" s="170" t="n">
        <v>9</v>
      </c>
      <c r="K152" s="170" t="n">
        <v>0</v>
      </c>
      <c r="L152" s="170" t="n">
        <v>53</v>
      </c>
      <c r="M152" s="170" t="n">
        <v>0</v>
      </c>
      <c r="N152" s="170" t="n">
        <v>32</v>
      </c>
      <c r="O152" s="142" t="inlineStr">
        <is>
          <t>["pork belly"]</t>
        </is>
      </c>
      <c r="P152" s="142" t="inlineStr">
        <is>
          <t>{"slice": 60, "portion": 150}</t>
        </is>
      </c>
      <c r="Q152" s="142" t="inlineStr">
        <is>
          <t>Generic reference – verify</t>
        </is>
      </c>
      <c r="R152" s="142" t="inlineStr"/>
      <c r="S152" s="142" t="inlineStr"/>
      <c r="T152" s="142" t="b">
        <v>0</v>
      </c>
      <c r="U152" s="142" t="inlineStr">
        <is>
          <t>Generic reference estimate; verify against the product label or a confirmed food-composition record.</t>
        </is>
      </c>
      <c r="V152" s="171" t="n">
        <v>46223.89583333334</v>
      </c>
    </row>
    <row r="153">
      <c r="A153" s="142" t="inlineStr">
        <is>
          <t>ING152</t>
        </is>
      </c>
      <c r="B153" s="142" t="inlineStr">
        <is>
          <t>Almonds</t>
        </is>
      </c>
      <c r="C153" s="142" t="inlineStr"/>
      <c r="D153" s="142" t="inlineStr">
        <is>
          <t>raw</t>
        </is>
      </c>
      <c r="E153" s="142" t="inlineStr">
        <is>
          <t>100 g</t>
        </is>
      </c>
      <c r="F153" s="170" t="n">
        <v>100</v>
      </c>
      <c r="G153" s="170" t="inlineStr">
        <is>
          <t>g</t>
        </is>
      </c>
      <c r="H153" s="170" t="inlineStr"/>
      <c r="I153" s="170" t="n">
        <v>579</v>
      </c>
      <c r="J153" s="170" t="n">
        <v>21</v>
      </c>
      <c r="K153" s="170" t="n">
        <v>22</v>
      </c>
      <c r="L153" s="170" t="n">
        <v>50</v>
      </c>
      <c r="M153" s="170" t="n">
        <v>12.5</v>
      </c>
      <c r="N153" s="170" t="n">
        <v>1</v>
      </c>
      <c r="O153" s="142" t="inlineStr">
        <is>
          <t>["almond", "activated almonds"]</t>
        </is>
      </c>
      <c r="P153" s="142" t="inlineStr">
        <is>
          <t>{"cup": 143, "tbsp": 9, "handful": 28}</t>
        </is>
      </c>
      <c r="Q153" s="142" t="inlineStr">
        <is>
          <t>Generic reference – verify</t>
        </is>
      </c>
      <c r="R153" s="142" t="inlineStr"/>
      <c r="S153" s="142" t="inlineStr"/>
      <c r="T153" s="142" t="b">
        <v>0</v>
      </c>
      <c r="U153" s="142" t="inlineStr">
        <is>
          <t>Generic reference estimate; verify against the product label or a confirmed food-composition record.</t>
        </is>
      </c>
      <c r="V153" s="171" t="n">
        <v>46223.89583333334</v>
      </c>
    </row>
    <row r="154">
      <c r="A154" s="142" t="inlineStr">
        <is>
          <t>ING153</t>
        </is>
      </c>
      <c r="B154" s="142" t="inlineStr">
        <is>
          <t>Walnuts</t>
        </is>
      </c>
      <c r="C154" s="142" t="inlineStr"/>
      <c r="D154" s="142" t="inlineStr">
        <is>
          <t>raw</t>
        </is>
      </c>
      <c r="E154" s="142" t="inlineStr">
        <is>
          <t>100 g</t>
        </is>
      </c>
      <c r="F154" s="170" t="n">
        <v>100</v>
      </c>
      <c r="G154" s="170" t="inlineStr">
        <is>
          <t>g</t>
        </is>
      </c>
      <c r="H154" s="170" t="inlineStr"/>
      <c r="I154" s="170" t="n">
        <v>654</v>
      </c>
      <c r="J154" s="170" t="n">
        <v>15</v>
      </c>
      <c r="K154" s="170" t="n">
        <v>14</v>
      </c>
      <c r="L154" s="170" t="n">
        <v>65</v>
      </c>
      <c r="M154" s="170" t="n">
        <v>6.7</v>
      </c>
      <c r="N154" s="170" t="n">
        <v>2</v>
      </c>
      <c r="O154" s="142" t="inlineStr">
        <is>
          <t>["walnut", "walnut halves"]</t>
        </is>
      </c>
      <c r="P154" s="142" t="inlineStr">
        <is>
          <t>{"cup": 117, "tbsp": 7.3, "handful": 28}</t>
        </is>
      </c>
      <c r="Q154" s="142" t="inlineStr">
        <is>
          <t>Generic reference – verify</t>
        </is>
      </c>
      <c r="R154" s="142" t="inlineStr"/>
      <c r="S154" s="142" t="inlineStr"/>
      <c r="T154" s="142" t="b">
        <v>0</v>
      </c>
      <c r="U154" s="142" t="inlineStr">
        <is>
          <t>Generic reference estimate; verify against the product label or a confirmed food-composition record.</t>
        </is>
      </c>
      <c r="V154" s="171" t="n">
        <v>46223.89583333334</v>
      </c>
    </row>
    <row r="155">
      <c r="A155" s="142" t="inlineStr">
        <is>
          <t>ING154</t>
        </is>
      </c>
      <c r="B155" s="142" t="inlineStr">
        <is>
          <t>Cashews</t>
        </is>
      </c>
      <c r="C155" s="142" t="inlineStr"/>
      <c r="D155" s="142" t="inlineStr">
        <is>
          <t>raw</t>
        </is>
      </c>
      <c r="E155" s="142" t="inlineStr">
        <is>
          <t>100 g</t>
        </is>
      </c>
      <c r="F155" s="170" t="n">
        <v>100</v>
      </c>
      <c r="G155" s="170" t="inlineStr">
        <is>
          <t>g</t>
        </is>
      </c>
      <c r="H155" s="170" t="inlineStr"/>
      <c r="I155" s="170" t="n">
        <v>553</v>
      </c>
      <c r="J155" s="170" t="n">
        <v>18</v>
      </c>
      <c r="K155" s="170" t="n">
        <v>30</v>
      </c>
      <c r="L155" s="170" t="n">
        <v>44</v>
      </c>
      <c r="M155" s="170" t="n">
        <v>3.3</v>
      </c>
      <c r="N155" s="170" t="n">
        <v>12</v>
      </c>
      <c r="O155" s="142" t="inlineStr">
        <is>
          <t>["cashew", "cashew nuts"]</t>
        </is>
      </c>
      <c r="P155" s="142" t="inlineStr">
        <is>
          <t>{"cup": 137, "tbsp": 8.6, "handful": 28}</t>
        </is>
      </c>
      <c r="Q155" s="142" t="inlineStr">
        <is>
          <t>Generic reference – verify</t>
        </is>
      </c>
      <c r="R155" s="142" t="inlineStr"/>
      <c r="S155" s="142" t="inlineStr"/>
      <c r="T155" s="142" t="b">
        <v>0</v>
      </c>
      <c r="U155" s="142" t="inlineStr">
        <is>
          <t>Generic reference estimate; verify against the product label or a confirmed food-composition record.</t>
        </is>
      </c>
      <c r="V155" s="171" t="n">
        <v>46223.89583333334</v>
      </c>
    </row>
    <row r="156">
      <c r="A156" s="142" t="inlineStr">
        <is>
          <t>ING155</t>
        </is>
      </c>
      <c r="B156" s="142" t="inlineStr">
        <is>
          <t>Pecans</t>
        </is>
      </c>
      <c r="C156" s="142" t="inlineStr"/>
      <c r="D156" s="142" t="inlineStr">
        <is>
          <t>raw</t>
        </is>
      </c>
      <c r="E156" s="142" t="inlineStr">
        <is>
          <t>100 g</t>
        </is>
      </c>
      <c r="F156" s="170" t="n">
        <v>100</v>
      </c>
      <c r="G156" s="170" t="inlineStr">
        <is>
          <t>g</t>
        </is>
      </c>
      <c r="H156" s="170" t="inlineStr"/>
      <c r="I156" s="170" t="n">
        <v>691</v>
      </c>
      <c r="J156" s="170" t="n">
        <v>9</v>
      </c>
      <c r="K156" s="170" t="n">
        <v>14</v>
      </c>
      <c r="L156" s="170" t="n">
        <v>72</v>
      </c>
      <c r="M156" s="170" t="n">
        <v>9.6</v>
      </c>
      <c r="N156" s="170" t="n">
        <v>0</v>
      </c>
      <c r="O156" s="142" t="inlineStr">
        <is>
          <t>["pecan", "pecan nuts"]</t>
        </is>
      </c>
      <c r="P156" s="142" t="inlineStr">
        <is>
          <t>{"cup": 109, "tbsp": 6.8, "handful": 28}</t>
        </is>
      </c>
      <c r="Q156" s="142" t="inlineStr">
        <is>
          <t>Generic reference – verify</t>
        </is>
      </c>
      <c r="R156" s="142" t="inlineStr"/>
      <c r="S156" s="142" t="inlineStr"/>
      <c r="T156" s="142" t="b">
        <v>0</v>
      </c>
      <c r="U156" s="142" t="inlineStr">
        <is>
          <t>Generic reference estimate; verify against the product label or a confirmed food-composition record.</t>
        </is>
      </c>
      <c r="V156" s="171" t="n">
        <v>46223.89583333334</v>
      </c>
    </row>
    <row r="157">
      <c r="A157" s="142" t="inlineStr">
        <is>
          <t>ING156</t>
        </is>
      </c>
      <c r="B157" s="142" t="inlineStr">
        <is>
          <t>Pistachios</t>
        </is>
      </c>
      <c r="C157" s="142" t="inlineStr"/>
      <c r="D157" s="142" t="inlineStr">
        <is>
          <t>raw</t>
        </is>
      </c>
      <c r="E157" s="142" t="inlineStr">
        <is>
          <t>100 g</t>
        </is>
      </c>
      <c r="F157" s="170" t="n">
        <v>100</v>
      </c>
      <c r="G157" s="170" t="inlineStr">
        <is>
          <t>g</t>
        </is>
      </c>
      <c r="H157" s="170" t="inlineStr"/>
      <c r="I157" s="170" t="n">
        <v>562</v>
      </c>
      <c r="J157" s="170" t="n">
        <v>20</v>
      </c>
      <c r="K157" s="170" t="n">
        <v>28</v>
      </c>
      <c r="L157" s="170" t="n">
        <v>45</v>
      </c>
      <c r="M157" s="170" t="n">
        <v>10</v>
      </c>
      <c r="N157" s="170" t="n">
        <v>1</v>
      </c>
      <c r="O157" s="142" t="inlineStr">
        <is>
          <t>["pistachio", "pistachio nuts"]</t>
        </is>
      </c>
      <c r="P157" s="142" t="inlineStr">
        <is>
          <t>{"cup": 123, "tbsp": 7.7, "handful": 28}</t>
        </is>
      </c>
      <c r="Q157" s="142" t="inlineStr">
        <is>
          <t>Generic reference – verify</t>
        </is>
      </c>
      <c r="R157" s="142" t="inlineStr"/>
      <c r="S157" s="142" t="inlineStr"/>
      <c r="T157" s="142" t="b">
        <v>0</v>
      </c>
      <c r="U157" s="142" t="inlineStr">
        <is>
          <t>Generic reference estimate; verify against the product label or a confirmed food-composition record.</t>
        </is>
      </c>
      <c r="V157" s="171" t="n">
        <v>46223.89583333334</v>
      </c>
    </row>
    <row r="158">
      <c r="A158" s="142" t="inlineStr">
        <is>
          <t>ING157</t>
        </is>
      </c>
      <c r="B158" s="142" t="inlineStr">
        <is>
          <t>Hazelnuts</t>
        </is>
      </c>
      <c r="C158" s="142" t="inlineStr"/>
      <c r="D158" s="142" t="inlineStr">
        <is>
          <t>raw</t>
        </is>
      </c>
      <c r="E158" s="142" t="inlineStr">
        <is>
          <t>100 g</t>
        </is>
      </c>
      <c r="F158" s="170" t="n">
        <v>100</v>
      </c>
      <c r="G158" s="170" t="inlineStr">
        <is>
          <t>g</t>
        </is>
      </c>
      <c r="H158" s="170" t="inlineStr"/>
      <c r="I158" s="170" t="n">
        <v>628</v>
      </c>
      <c r="J158" s="170" t="n">
        <v>15</v>
      </c>
      <c r="K158" s="170" t="n">
        <v>17</v>
      </c>
      <c r="L158" s="170" t="n">
        <v>61</v>
      </c>
      <c r="M158" s="170" t="n">
        <v>9.699999999999999</v>
      </c>
      <c r="N158" s="170" t="n">
        <v>0</v>
      </c>
      <c r="O158" s="142" t="inlineStr">
        <is>
          <t>["hazelnut", "hazelnuts"]</t>
        </is>
      </c>
      <c r="P158" s="142" t="inlineStr">
        <is>
          <t>{"cup": 135, "tbsp": 8.4, "handful": 28}</t>
        </is>
      </c>
      <c r="Q158" s="142" t="inlineStr">
        <is>
          <t>Generic reference – verify</t>
        </is>
      </c>
      <c r="R158" s="142" t="inlineStr"/>
      <c r="S158" s="142" t="inlineStr"/>
      <c r="T158" s="142" t="b">
        <v>0</v>
      </c>
      <c r="U158" s="142" t="inlineStr">
        <is>
          <t>Generic reference estimate; verify against the product label or a confirmed food-composition record.</t>
        </is>
      </c>
      <c r="V158" s="171" t="n">
        <v>46223.89583333334</v>
      </c>
    </row>
    <row r="159">
      <c r="A159" s="142" t="inlineStr">
        <is>
          <t>ING158</t>
        </is>
      </c>
      <c r="B159" s="142" t="inlineStr">
        <is>
          <t>Macadamia nuts</t>
        </is>
      </c>
      <c r="C159" s="142" t="inlineStr"/>
      <c r="D159" s="142" t="inlineStr">
        <is>
          <t>raw</t>
        </is>
      </c>
      <c r="E159" s="142" t="inlineStr">
        <is>
          <t>100 g</t>
        </is>
      </c>
      <c r="F159" s="170" t="n">
        <v>100</v>
      </c>
      <c r="G159" s="170" t="inlineStr">
        <is>
          <t>g</t>
        </is>
      </c>
      <c r="H159" s="170" t="inlineStr"/>
      <c r="I159" s="170" t="n">
        <v>718</v>
      </c>
      <c r="J159" s="170" t="n">
        <v>8</v>
      </c>
      <c r="K159" s="170" t="n">
        <v>14</v>
      </c>
      <c r="L159" s="170" t="n">
        <v>76</v>
      </c>
      <c r="M159" s="170" t="n">
        <v>8.6</v>
      </c>
      <c r="N159" s="170" t="n">
        <v>5</v>
      </c>
      <c r="O159" s="142" t="inlineStr">
        <is>
          <t>["macadamia", "macadamias"]</t>
        </is>
      </c>
      <c r="P159" s="142" t="inlineStr">
        <is>
          <t>{"cup": 134, "tbsp": 8.4, "handful": 28}</t>
        </is>
      </c>
      <c r="Q159" s="142" t="inlineStr">
        <is>
          <t>Generic reference – verify</t>
        </is>
      </c>
      <c r="R159" s="142" t="inlineStr"/>
      <c r="S159" s="142" t="inlineStr"/>
      <c r="T159" s="142" t="b">
        <v>0</v>
      </c>
      <c r="U159" s="142" t="inlineStr">
        <is>
          <t>Generic reference estimate; verify against the product label or a confirmed food-composition record.</t>
        </is>
      </c>
      <c r="V159" s="171" t="n">
        <v>46223.89583333334</v>
      </c>
    </row>
    <row r="160">
      <c r="A160" s="142" t="inlineStr">
        <is>
          <t>ING159</t>
        </is>
      </c>
      <c r="B160" s="142" t="inlineStr">
        <is>
          <t>Pumpkin seeds</t>
        </is>
      </c>
      <c r="C160" s="142" t="inlineStr"/>
      <c r="D160" s="142" t="inlineStr">
        <is>
          <t>raw</t>
        </is>
      </c>
      <c r="E160" s="142" t="inlineStr">
        <is>
          <t>100 g</t>
        </is>
      </c>
      <c r="F160" s="170" t="n">
        <v>100</v>
      </c>
      <c r="G160" s="170" t="inlineStr">
        <is>
          <t>g</t>
        </is>
      </c>
      <c r="H160" s="170" t="inlineStr"/>
      <c r="I160" s="170" t="n">
        <v>559</v>
      </c>
      <c r="J160" s="170" t="n">
        <v>30</v>
      </c>
      <c r="K160" s="170" t="n">
        <v>11</v>
      </c>
      <c r="L160" s="170" t="n">
        <v>49</v>
      </c>
      <c r="M160" s="170" t="n">
        <v>6</v>
      </c>
      <c r="N160" s="170" t="n">
        <v>7</v>
      </c>
      <c r="O160" s="142" t="inlineStr">
        <is>
          <t>["pepitas", "pumpkin seed", "pumpkin seeds"]</t>
        </is>
      </c>
      <c r="P160" s="142" t="inlineStr">
        <is>
          <t>{"cup": 129, "tbsp": 8, "handful": 28}</t>
        </is>
      </c>
      <c r="Q160" s="142" t="inlineStr">
        <is>
          <t>Generic reference – verify</t>
        </is>
      </c>
      <c r="R160" s="142" t="inlineStr"/>
      <c r="S160" s="142" t="inlineStr"/>
      <c r="T160" s="142" t="b">
        <v>0</v>
      </c>
      <c r="U160" s="142" t="inlineStr">
        <is>
          <t>Generic reference estimate; verify against the product label or a confirmed food-composition record.</t>
        </is>
      </c>
      <c r="V160" s="171" t="n">
        <v>46223.89583333334</v>
      </c>
    </row>
    <row r="161">
      <c r="A161" s="142" t="inlineStr">
        <is>
          <t>ING160</t>
        </is>
      </c>
      <c r="B161" s="142" t="inlineStr">
        <is>
          <t>Sunflower seeds</t>
        </is>
      </c>
      <c r="C161" s="142" t="inlineStr"/>
      <c r="D161" s="142" t="inlineStr">
        <is>
          <t>raw</t>
        </is>
      </c>
      <c r="E161" s="142" t="inlineStr">
        <is>
          <t>100 g</t>
        </is>
      </c>
      <c r="F161" s="170" t="n">
        <v>100</v>
      </c>
      <c r="G161" s="170" t="inlineStr">
        <is>
          <t>g</t>
        </is>
      </c>
      <c r="H161" s="170" t="inlineStr"/>
      <c r="I161" s="170" t="n">
        <v>584</v>
      </c>
      <c r="J161" s="170" t="n">
        <v>21</v>
      </c>
      <c r="K161" s="170" t="n">
        <v>20</v>
      </c>
      <c r="L161" s="170" t="n">
        <v>51</v>
      </c>
      <c r="M161" s="170" t="n">
        <v>8.6</v>
      </c>
      <c r="N161" s="170" t="n">
        <v>9</v>
      </c>
      <c r="O161" s="142" t="inlineStr">
        <is>
          <t>["sunflower seed", "sunflower seeds"]</t>
        </is>
      </c>
      <c r="P161" s="142" t="inlineStr">
        <is>
          <t>{"cup": 140, "tbsp": 8.8, "handful": 28}</t>
        </is>
      </c>
      <c r="Q161" s="142" t="inlineStr">
        <is>
          <t>Generic reference – verify</t>
        </is>
      </c>
      <c r="R161" s="142" t="inlineStr"/>
      <c r="S161" s="142" t="inlineStr"/>
      <c r="T161" s="142" t="b">
        <v>0</v>
      </c>
      <c r="U161" s="142" t="inlineStr">
        <is>
          <t>Generic reference estimate; verify against the product label or a confirmed food-composition record.</t>
        </is>
      </c>
      <c r="V161" s="171" t="n">
        <v>46223.89583333334</v>
      </c>
    </row>
    <row r="162">
      <c r="A162" s="142" t="inlineStr">
        <is>
          <t>ING161</t>
        </is>
      </c>
      <c r="B162" s="142" t="inlineStr">
        <is>
          <t>Chia seeds</t>
        </is>
      </c>
      <c r="C162" s="142" t="inlineStr"/>
      <c r="D162" s="142" t="inlineStr">
        <is>
          <t>dry</t>
        </is>
      </c>
      <c r="E162" s="142" t="inlineStr">
        <is>
          <t>100 g</t>
        </is>
      </c>
      <c r="F162" s="170" t="n">
        <v>100</v>
      </c>
      <c r="G162" s="170" t="inlineStr">
        <is>
          <t>g</t>
        </is>
      </c>
      <c r="H162" s="170" t="inlineStr"/>
      <c r="I162" s="170" t="n">
        <v>486</v>
      </c>
      <c r="J162" s="170" t="n">
        <v>16.5</v>
      </c>
      <c r="K162" s="170" t="n">
        <v>42</v>
      </c>
      <c r="L162" s="170" t="n">
        <v>30.7</v>
      </c>
      <c r="M162" s="170" t="n">
        <v>34.4</v>
      </c>
      <c r="N162" s="170" t="n">
        <v>16</v>
      </c>
      <c r="O162" s="142" t="inlineStr">
        <is>
          <t>["chia seed", "chia seeds"]</t>
        </is>
      </c>
      <c r="P162" s="142" t="inlineStr">
        <is>
          <t>{"tbsp": 12, "tsp": 4, "cup": 192}</t>
        </is>
      </c>
      <c r="Q162" s="142" t="inlineStr">
        <is>
          <t>Generic reference – verify</t>
        </is>
      </c>
      <c r="R162" s="142" t="inlineStr"/>
      <c r="S162" s="142" t="inlineStr"/>
      <c r="T162" s="142" t="b">
        <v>0</v>
      </c>
      <c r="U162" s="142" t="inlineStr">
        <is>
          <t>Generic reference estimate; verify against the product label or a confirmed food-composition record.</t>
        </is>
      </c>
      <c r="V162" s="171" t="n">
        <v>46223.89583333334</v>
      </c>
    </row>
    <row r="163">
      <c r="A163" s="142" t="inlineStr">
        <is>
          <t>ING162</t>
        </is>
      </c>
      <c r="B163" s="142" t="inlineStr">
        <is>
          <t>Flax seeds</t>
        </is>
      </c>
      <c r="C163" s="142" t="inlineStr"/>
      <c r="D163" s="142" t="inlineStr">
        <is>
          <t>dry</t>
        </is>
      </c>
      <c r="E163" s="142" t="inlineStr">
        <is>
          <t>100 g</t>
        </is>
      </c>
      <c r="F163" s="170" t="n">
        <v>100</v>
      </c>
      <c r="G163" s="170" t="inlineStr">
        <is>
          <t>g</t>
        </is>
      </c>
      <c r="H163" s="170" t="inlineStr"/>
      <c r="I163" s="170" t="n">
        <v>534</v>
      </c>
      <c r="J163" s="170" t="n">
        <v>18</v>
      </c>
      <c r="K163" s="170" t="n">
        <v>29</v>
      </c>
      <c r="L163" s="170" t="n">
        <v>42</v>
      </c>
      <c r="M163" s="170" t="n">
        <v>27</v>
      </c>
      <c r="N163" s="170" t="n">
        <v>30</v>
      </c>
      <c r="O163" s="142" t="inlineStr">
        <is>
          <t>["linseed", "flaxseed", "flax seeds", "ground flax"]</t>
        </is>
      </c>
      <c r="P163" s="142" t="inlineStr">
        <is>
          <t>{"tbsp": 10, "tsp": 3.3, "cup": 168}</t>
        </is>
      </c>
      <c r="Q163" s="142" t="inlineStr">
        <is>
          <t>Generic reference – verify</t>
        </is>
      </c>
      <c r="R163" s="142" t="inlineStr"/>
      <c r="S163" s="142" t="inlineStr"/>
      <c r="T163" s="142" t="b">
        <v>0</v>
      </c>
      <c r="U163" s="142" t="inlineStr">
        <is>
          <t>Generic reference estimate; verify against the product label or a confirmed food-composition record.</t>
        </is>
      </c>
      <c r="V163" s="171" t="n">
        <v>46223.89583333334</v>
      </c>
    </row>
    <row r="164">
      <c r="A164" s="142" t="inlineStr">
        <is>
          <t>ING163</t>
        </is>
      </c>
      <c r="B164" s="142" t="inlineStr">
        <is>
          <t>Raw cacao powder</t>
        </is>
      </c>
      <c r="C164" s="142" t="inlineStr"/>
      <c r="D164" s="142" t="inlineStr">
        <is>
          <t>dry</t>
        </is>
      </c>
      <c r="E164" s="142" t="inlineStr">
        <is>
          <t>100 g</t>
        </is>
      </c>
      <c r="F164" s="170" t="n">
        <v>100</v>
      </c>
      <c r="G164" s="170" t="inlineStr">
        <is>
          <t>g</t>
        </is>
      </c>
      <c r="H164" s="170" t="inlineStr"/>
      <c r="I164" s="170" t="n">
        <v>228</v>
      </c>
      <c r="J164" s="170" t="n">
        <v>20</v>
      </c>
      <c r="K164" s="170" t="n">
        <v>58</v>
      </c>
      <c r="L164" s="170" t="n">
        <v>14</v>
      </c>
      <c r="M164" s="170" t="n">
        <v>37</v>
      </c>
      <c r="N164" s="170" t="n">
        <v>21</v>
      </c>
      <c r="O164" s="142" t="inlineStr">
        <is>
          <t>["raw cacao", "cacao powder"]</t>
        </is>
      </c>
      <c r="P164" s="142" t="inlineStr">
        <is>
          <t>{"tbsp": 5.4, "tsp": 1.8, "cup": 86}</t>
        </is>
      </c>
      <c r="Q164" s="142" t="inlineStr">
        <is>
          <t>Generic reference – verify</t>
        </is>
      </c>
      <c r="R164" s="142" t="inlineStr"/>
      <c r="S164" s="142" t="inlineStr"/>
      <c r="T164" s="142" t="b">
        <v>0</v>
      </c>
      <c r="U164" s="142" t="inlineStr">
        <is>
          <t>Generic reference estimate; verify against the product label or a confirmed food-composition record.</t>
        </is>
      </c>
      <c r="V164" s="171" t="n">
        <v>46223.89583333334</v>
      </c>
    </row>
    <row r="165">
      <c r="A165" s="142" t="inlineStr">
        <is>
          <t>ING164</t>
        </is>
      </c>
      <c r="B165" s="142" t="inlineStr">
        <is>
          <t>Cocoa powder, unsweetened</t>
        </is>
      </c>
      <c r="C165" s="142" t="inlineStr"/>
      <c r="D165" s="142" t="inlineStr">
        <is>
          <t>dry</t>
        </is>
      </c>
      <c r="E165" s="142" t="inlineStr">
        <is>
          <t>100 g</t>
        </is>
      </c>
      <c r="F165" s="170" t="n">
        <v>100</v>
      </c>
      <c r="G165" s="170" t="inlineStr">
        <is>
          <t>g</t>
        </is>
      </c>
      <c r="H165" s="170" t="inlineStr"/>
      <c r="I165" s="170" t="n">
        <v>228</v>
      </c>
      <c r="J165" s="170" t="n">
        <v>20</v>
      </c>
      <c r="K165" s="170" t="n">
        <v>58</v>
      </c>
      <c r="L165" s="170" t="n">
        <v>14</v>
      </c>
      <c r="M165" s="170" t="n">
        <v>37</v>
      </c>
      <c r="N165" s="170" t="n">
        <v>21</v>
      </c>
      <c r="O165" s="142" t="inlineStr">
        <is>
          <t>["cocoa", "cocoa powder", "unsweetened cocoa"]</t>
        </is>
      </c>
      <c r="P165" s="142" t="inlineStr">
        <is>
          <t>{"tbsp": 5.4, "tsp": 1.8, "cup": 86}</t>
        </is>
      </c>
      <c r="Q165" s="142" t="inlineStr">
        <is>
          <t>Generic reference – verify</t>
        </is>
      </c>
      <c r="R165" s="142" t="inlineStr"/>
      <c r="S165" s="142" t="inlineStr"/>
      <c r="T165" s="142" t="b">
        <v>0</v>
      </c>
      <c r="U165" s="142" t="inlineStr">
        <is>
          <t>Generic reference estimate; verify against the product label or a confirmed food-composition record.</t>
        </is>
      </c>
      <c r="V165" s="171" t="n">
        <v>46223.89583333334</v>
      </c>
    </row>
    <row r="166">
      <c r="A166" s="142" t="inlineStr">
        <is>
          <t>ING165</t>
        </is>
      </c>
      <c r="B166" s="142" t="inlineStr">
        <is>
          <t>Dark chocolate, 70–85%</t>
        </is>
      </c>
      <c r="C166" s="142" t="inlineStr"/>
      <c r="D166" s="142" t="inlineStr">
        <is>
          <t>packaged</t>
        </is>
      </c>
      <c r="E166" s="142" t="inlineStr">
        <is>
          <t>100 g</t>
        </is>
      </c>
      <c r="F166" s="170" t="n">
        <v>100</v>
      </c>
      <c r="G166" s="170" t="inlineStr">
        <is>
          <t>g</t>
        </is>
      </c>
      <c r="H166" s="170" t="inlineStr"/>
      <c r="I166" s="170" t="n">
        <v>598</v>
      </c>
      <c r="J166" s="170" t="n">
        <v>7.8</v>
      </c>
      <c r="K166" s="170" t="n">
        <v>46</v>
      </c>
      <c r="L166" s="170" t="n">
        <v>43</v>
      </c>
      <c r="M166" s="170" t="n">
        <v>11</v>
      </c>
      <c r="N166" s="170" t="n">
        <v>20</v>
      </c>
      <c r="O166" s="142" t="inlineStr">
        <is>
          <t>["dark chocolate", "bittersweet chocolate"]</t>
        </is>
      </c>
      <c r="P166" s="142" t="inlineStr">
        <is>
          <t>{"square": 10, "oz": 28.35, "cup": 170}</t>
        </is>
      </c>
      <c r="Q166" s="142" t="inlineStr">
        <is>
          <t>Generic reference – verify</t>
        </is>
      </c>
      <c r="R166" s="142" t="inlineStr"/>
      <c r="S166" s="142" t="inlineStr"/>
      <c r="T166" s="142" t="b">
        <v>0</v>
      </c>
      <c r="U166" s="142" t="inlineStr">
        <is>
          <t>Generic reference estimate; verify against the product label or a confirmed food-composition record.</t>
        </is>
      </c>
      <c r="V166" s="171" t="n">
        <v>46223.89583333334</v>
      </c>
    </row>
    <row r="167">
      <c r="A167" s="142" t="inlineStr">
        <is>
          <t>ING166</t>
        </is>
      </c>
      <c r="B167" s="142" t="inlineStr">
        <is>
          <t>Parmesan cheese</t>
        </is>
      </c>
      <c r="C167" s="142" t="inlineStr"/>
      <c r="D167" s="142" t="inlineStr">
        <is>
          <t>packaged</t>
        </is>
      </c>
      <c r="E167" s="142" t="inlineStr">
        <is>
          <t>100 g</t>
        </is>
      </c>
      <c r="F167" s="170" t="n">
        <v>100</v>
      </c>
      <c r="G167" s="170" t="inlineStr">
        <is>
          <t>g</t>
        </is>
      </c>
      <c r="H167" s="170" t="inlineStr"/>
      <c r="I167" s="170" t="n">
        <v>431</v>
      </c>
      <c r="J167" s="170" t="n">
        <v>38</v>
      </c>
      <c r="K167" s="170" t="n">
        <v>4.1</v>
      </c>
      <c r="L167" s="170" t="n">
        <v>29</v>
      </c>
      <c r="M167" s="170" t="n">
        <v>0</v>
      </c>
      <c r="N167" s="170" t="n">
        <v>1529</v>
      </c>
      <c r="O167" s="142" t="inlineStr">
        <is>
          <t>["parmesan", "parmigiano reggiano", "parmesan rind"]</t>
        </is>
      </c>
      <c r="P167" s="142" t="inlineStr">
        <is>
          <t>{"tbsp": 5, "cup": 100, "slice": 10}</t>
        </is>
      </c>
      <c r="Q167" s="142" t="inlineStr">
        <is>
          <t>Generic reference – verify</t>
        </is>
      </c>
      <c r="R167" s="142" t="inlineStr"/>
      <c r="S167" s="142" t="inlineStr"/>
      <c r="T167" s="142" t="b">
        <v>0</v>
      </c>
      <c r="U167" s="142" t="inlineStr">
        <is>
          <t>Generic reference estimate; verify against the product label or a confirmed food-composition record.</t>
        </is>
      </c>
      <c r="V167" s="171" t="n">
        <v>46223.89583333334</v>
      </c>
    </row>
    <row r="168">
      <c r="A168" s="142" t="inlineStr">
        <is>
          <t>ING167</t>
        </is>
      </c>
      <c r="B168" s="142" t="inlineStr">
        <is>
          <t>Feta cheese</t>
        </is>
      </c>
      <c r="C168" s="142" t="inlineStr"/>
      <c r="D168" s="142" t="inlineStr">
        <is>
          <t>packaged</t>
        </is>
      </c>
      <c r="E168" s="142" t="inlineStr">
        <is>
          <t>100 g</t>
        </is>
      </c>
      <c r="F168" s="170" t="n">
        <v>100</v>
      </c>
      <c r="G168" s="170" t="inlineStr">
        <is>
          <t>g</t>
        </is>
      </c>
      <c r="H168" s="170" t="inlineStr"/>
      <c r="I168" s="170" t="n">
        <v>264</v>
      </c>
      <c r="J168" s="170" t="n">
        <v>14</v>
      </c>
      <c r="K168" s="170" t="n">
        <v>4.1</v>
      </c>
      <c r="L168" s="170" t="n">
        <v>21</v>
      </c>
      <c r="M168" s="170" t="n">
        <v>0</v>
      </c>
      <c r="N168" s="170" t="n">
        <v>917</v>
      </c>
      <c r="O168" s="142" t="inlineStr">
        <is>
          <t>["feta", "crumbled feta"]</t>
        </is>
      </c>
      <c r="P168" s="142" t="inlineStr">
        <is>
          <t>{"cup": 150, "tbsp": 9.4}</t>
        </is>
      </c>
      <c r="Q168" s="142" t="inlineStr">
        <is>
          <t>Generic reference – verify</t>
        </is>
      </c>
      <c r="R168" s="142" t="inlineStr"/>
      <c r="S168" s="142" t="inlineStr"/>
      <c r="T168" s="142" t="b">
        <v>0</v>
      </c>
      <c r="U168" s="142" t="inlineStr">
        <is>
          <t>Generic reference estimate; verify against the product label or a confirmed food-composition record.</t>
        </is>
      </c>
      <c r="V168" s="171" t="n">
        <v>46223.89583333334</v>
      </c>
    </row>
    <row r="169">
      <c r="A169" s="142" t="inlineStr">
        <is>
          <t>ING168</t>
        </is>
      </c>
      <c r="B169" s="142" t="inlineStr">
        <is>
          <t>Goat cheese</t>
        </is>
      </c>
      <c r="C169" s="142" t="inlineStr"/>
      <c r="D169" s="142" t="inlineStr">
        <is>
          <t>packaged</t>
        </is>
      </c>
      <c r="E169" s="142" t="inlineStr">
        <is>
          <t>100 g</t>
        </is>
      </c>
      <c r="F169" s="170" t="n">
        <v>100</v>
      </c>
      <c r="G169" s="170" t="inlineStr">
        <is>
          <t>g</t>
        </is>
      </c>
      <c r="H169" s="170" t="inlineStr"/>
      <c r="I169" s="170" t="n">
        <v>364</v>
      </c>
      <c r="J169" s="170" t="n">
        <v>22</v>
      </c>
      <c r="K169" s="170" t="n">
        <v>0.1</v>
      </c>
      <c r="L169" s="170" t="n">
        <v>30</v>
      </c>
      <c r="M169" s="170" t="n">
        <v>0</v>
      </c>
      <c r="N169" s="170" t="n">
        <v>515</v>
      </c>
      <c r="O169" s="142" t="inlineStr">
        <is>
          <t>["goats cheese", "goat cheese", "chèvre"]</t>
        </is>
      </c>
      <c r="P169" s="142" t="inlineStr">
        <is>
          <t>{"tbsp": 14, "oz": 28.35}</t>
        </is>
      </c>
      <c r="Q169" s="142" t="inlineStr">
        <is>
          <t>Generic reference – verify</t>
        </is>
      </c>
      <c r="R169" s="142" t="inlineStr"/>
      <c r="S169" s="142" t="inlineStr"/>
      <c r="T169" s="142" t="b">
        <v>0</v>
      </c>
      <c r="U169" s="142" t="inlineStr">
        <is>
          <t>Generic reference estimate; verify against the product label or a confirmed food-composition record.</t>
        </is>
      </c>
      <c r="V169" s="171" t="n">
        <v>46223.89583333334</v>
      </c>
    </row>
    <row r="170">
      <c r="A170" s="142" t="inlineStr">
        <is>
          <t>ING169</t>
        </is>
      </c>
      <c r="B170" s="142" t="inlineStr">
        <is>
          <t>Paneer</t>
        </is>
      </c>
      <c r="C170" s="142" t="inlineStr"/>
      <c r="D170" s="142" t="inlineStr">
        <is>
          <t>packaged</t>
        </is>
      </c>
      <c r="E170" s="142" t="inlineStr">
        <is>
          <t>100 g</t>
        </is>
      </c>
      <c r="F170" s="170" t="n">
        <v>100</v>
      </c>
      <c r="G170" s="170" t="inlineStr">
        <is>
          <t>g</t>
        </is>
      </c>
      <c r="H170" s="170" t="inlineStr"/>
      <c r="I170" s="170" t="n">
        <v>321</v>
      </c>
      <c r="J170" s="170" t="n">
        <v>21</v>
      </c>
      <c r="K170" s="170" t="n">
        <v>3</v>
      </c>
      <c r="L170" s="170" t="n">
        <v>25</v>
      </c>
      <c r="M170" s="170" t="n">
        <v>0</v>
      </c>
      <c r="N170" s="170" t="n">
        <v>22</v>
      </c>
      <c r="O170" s="142" t="inlineStr">
        <is>
          <t>["paneer cheese", "paneer"]</t>
        </is>
      </c>
      <c r="P170" s="142" t="inlineStr">
        <is>
          <t>{"cup": 150, "cube": 15}</t>
        </is>
      </c>
      <c r="Q170" s="142" t="inlineStr">
        <is>
          <t>Generic reference – verify</t>
        </is>
      </c>
      <c r="R170" s="142" t="inlineStr"/>
      <c r="S170" s="142" t="inlineStr"/>
      <c r="T170" s="142" t="b">
        <v>0</v>
      </c>
      <c r="U170" s="142" t="inlineStr">
        <is>
          <t>Generic reference estimate; verify against the product label or a confirmed food-composition record.</t>
        </is>
      </c>
      <c r="V170" s="171" t="n">
        <v>46223.89583333334</v>
      </c>
    </row>
    <row r="171">
      <c r="A171" s="142" t="inlineStr">
        <is>
          <t>ING170</t>
        </is>
      </c>
      <c r="B171" s="142" t="inlineStr">
        <is>
          <t>Ricotta cheese, whole milk</t>
        </is>
      </c>
      <c r="C171" s="142" t="inlineStr"/>
      <c r="D171" s="142" t="inlineStr">
        <is>
          <t>packaged</t>
        </is>
      </c>
      <c r="E171" s="142" t="inlineStr">
        <is>
          <t>100 g</t>
        </is>
      </c>
      <c r="F171" s="170" t="n">
        <v>100</v>
      </c>
      <c r="G171" s="170" t="inlineStr">
        <is>
          <t>g</t>
        </is>
      </c>
      <c r="H171" s="170" t="inlineStr"/>
      <c r="I171" s="170" t="n">
        <v>174</v>
      </c>
      <c r="J171" s="170" t="n">
        <v>11</v>
      </c>
      <c r="K171" s="170" t="n">
        <v>3</v>
      </c>
      <c r="L171" s="170" t="n">
        <v>13</v>
      </c>
      <c r="M171" s="170" t="n">
        <v>0</v>
      </c>
      <c r="N171" s="170" t="n">
        <v>84</v>
      </c>
      <c r="O171" s="142" t="inlineStr">
        <is>
          <t>["ricotta", "whole milk ricotta"]</t>
        </is>
      </c>
      <c r="P171" s="142" t="inlineStr">
        <is>
          <t>{"cup": 246, "tbsp": 15.4}</t>
        </is>
      </c>
      <c r="Q171" s="142" t="inlineStr">
        <is>
          <t>Generic reference – verify</t>
        </is>
      </c>
      <c r="R171" s="142" t="inlineStr"/>
      <c r="S171" s="142" t="inlineStr"/>
      <c r="T171" s="142" t="b">
        <v>0</v>
      </c>
      <c r="U171" s="142" t="inlineStr">
        <is>
          <t>Generic reference estimate; verify against the product label or a confirmed food-composition record.</t>
        </is>
      </c>
      <c r="V171" s="171" t="n">
        <v>46223.89583333334</v>
      </c>
    </row>
    <row r="172">
      <c r="A172" s="142" t="inlineStr">
        <is>
          <t>ING171</t>
        </is>
      </c>
      <c r="B172" s="142" t="inlineStr">
        <is>
          <t>Mozzarella cheese</t>
        </is>
      </c>
      <c r="C172" s="142" t="inlineStr"/>
      <c r="D172" s="142" t="inlineStr">
        <is>
          <t>packaged</t>
        </is>
      </c>
      <c r="E172" s="142" t="inlineStr">
        <is>
          <t>100 g</t>
        </is>
      </c>
      <c r="F172" s="170" t="n">
        <v>100</v>
      </c>
      <c r="G172" s="170" t="inlineStr">
        <is>
          <t>g</t>
        </is>
      </c>
      <c r="H172" s="170" t="inlineStr"/>
      <c r="I172" s="170" t="n">
        <v>280</v>
      </c>
      <c r="J172" s="170" t="n">
        <v>28</v>
      </c>
      <c r="K172" s="170" t="n">
        <v>3.1</v>
      </c>
      <c r="L172" s="170" t="n">
        <v>17</v>
      </c>
      <c r="M172" s="170" t="n">
        <v>0</v>
      </c>
      <c r="N172" s="170" t="n">
        <v>627</v>
      </c>
      <c r="O172" s="142" t="inlineStr">
        <is>
          <t>["mozzarella", "fresh mozzarella"]</t>
        </is>
      </c>
      <c r="P172" s="142" t="inlineStr">
        <is>
          <t>{"ball": 125, "cup": 112, "slice": 28}</t>
        </is>
      </c>
      <c r="Q172" s="142" t="inlineStr">
        <is>
          <t>Generic reference – verify</t>
        </is>
      </c>
      <c r="R172" s="142" t="inlineStr"/>
      <c r="S172" s="142" t="inlineStr"/>
      <c r="T172" s="142" t="b">
        <v>0</v>
      </c>
      <c r="U172" s="142" t="inlineStr">
        <is>
          <t>Generic reference estimate; verify against the product label or a confirmed food-composition record.</t>
        </is>
      </c>
      <c r="V172" s="171" t="n">
        <v>46223.89583333334</v>
      </c>
    </row>
    <row r="173">
      <c r="A173" s="142" t="inlineStr">
        <is>
          <t>ING172</t>
        </is>
      </c>
      <c r="B173" s="142" t="inlineStr">
        <is>
          <t>Bacon, cooked</t>
        </is>
      </c>
      <c r="C173" s="142" t="inlineStr"/>
      <c r="D173" s="142" t="inlineStr">
        <is>
          <t>cooked</t>
        </is>
      </c>
      <c r="E173" s="142" t="inlineStr">
        <is>
          <t>100 g</t>
        </is>
      </c>
      <c r="F173" s="170" t="n">
        <v>100</v>
      </c>
      <c r="G173" s="170" t="inlineStr">
        <is>
          <t>g</t>
        </is>
      </c>
      <c r="H173" s="170" t="inlineStr"/>
      <c r="I173" s="170" t="n">
        <v>541</v>
      </c>
      <c r="J173" s="170" t="n">
        <v>37</v>
      </c>
      <c r="K173" s="170" t="n">
        <v>1.4</v>
      </c>
      <c r="L173" s="170" t="n">
        <v>42</v>
      </c>
      <c r="M173" s="170" t="n">
        <v>0</v>
      </c>
      <c r="N173" s="170" t="n">
        <v>1717</v>
      </c>
      <c r="O173" s="142" t="inlineStr">
        <is>
          <t>["bacon", "bacon bits", "streaky bacon", "bacon rasher", "bacon rashers"]</t>
        </is>
      </c>
      <c r="P173" s="142" t="inlineStr">
        <is>
          <t>{"rasher": 20, "slice": 20, "tbsp": 7}</t>
        </is>
      </c>
      <c r="Q173" s="142" t="inlineStr">
        <is>
          <t>Generic reference – verify</t>
        </is>
      </c>
      <c r="R173" s="142" t="inlineStr"/>
      <c r="S173" s="142" t="inlineStr"/>
      <c r="T173" s="142" t="b">
        <v>0</v>
      </c>
      <c r="U173" s="142" t="inlineStr">
        <is>
          <t>Generic reference estimate; verify against the product label or a confirmed food-composition record.</t>
        </is>
      </c>
      <c r="V173" s="171" t="n">
        <v>46223.89583333334</v>
      </c>
    </row>
    <row r="174">
      <c r="A174" s="142" t="inlineStr">
        <is>
          <t>ING173</t>
        </is>
      </c>
      <c r="B174" s="142" t="inlineStr">
        <is>
          <t>Prosciutto</t>
        </is>
      </c>
      <c r="C174" s="142" t="inlineStr"/>
      <c r="D174" s="142" t="inlineStr">
        <is>
          <t>cured</t>
        </is>
      </c>
      <c r="E174" s="142" t="inlineStr">
        <is>
          <t>100 g</t>
        </is>
      </c>
      <c r="F174" s="170" t="n">
        <v>100</v>
      </c>
      <c r="G174" s="170" t="inlineStr">
        <is>
          <t>g</t>
        </is>
      </c>
      <c r="H174" s="170" t="inlineStr"/>
      <c r="I174" s="170" t="n">
        <v>195</v>
      </c>
      <c r="J174" s="170" t="n">
        <v>27</v>
      </c>
      <c r="K174" s="170" t="n">
        <v>0.4</v>
      </c>
      <c r="L174" s="170" t="n">
        <v>8.6</v>
      </c>
      <c r="M174" s="170" t="n">
        <v>0</v>
      </c>
      <c r="N174" s="170" t="n">
        <v>1965</v>
      </c>
      <c r="O174" s="142" t="inlineStr">
        <is>
          <t>["prosciutto", "parma ham"]</t>
        </is>
      </c>
      <c r="P174" s="142" t="inlineStr">
        <is>
          <t>{"slice": 15, "rasher": 15}</t>
        </is>
      </c>
      <c r="Q174" s="142" t="inlineStr">
        <is>
          <t>Generic reference – verify</t>
        </is>
      </c>
      <c r="R174" s="142" t="inlineStr"/>
      <c r="S174" s="142" t="inlineStr"/>
      <c r="T174" s="142" t="b">
        <v>0</v>
      </c>
      <c r="U174" s="142" t="inlineStr">
        <is>
          <t>Generic reference estimate; verify against the product label or a confirmed food-composition record.</t>
        </is>
      </c>
      <c r="V174" s="171" t="n">
        <v>46223.89583333334</v>
      </c>
    </row>
    <row r="175">
      <c r="A175" s="142" t="inlineStr">
        <is>
          <t>ING174</t>
        </is>
      </c>
      <c r="B175" s="142" t="inlineStr">
        <is>
          <t>Sardines, canned in oil, drained</t>
        </is>
      </c>
      <c r="C175" s="142" t="inlineStr"/>
      <c r="D175" s="142" t="inlineStr">
        <is>
          <t>drained</t>
        </is>
      </c>
      <c r="E175" s="142" t="inlineStr">
        <is>
          <t>100 g</t>
        </is>
      </c>
      <c r="F175" s="170" t="n">
        <v>100</v>
      </c>
      <c r="G175" s="170" t="inlineStr">
        <is>
          <t>g</t>
        </is>
      </c>
      <c r="H175" s="170" t="inlineStr"/>
      <c r="I175" s="170" t="n">
        <v>208</v>
      </c>
      <c r="J175" s="170" t="n">
        <v>25</v>
      </c>
      <c r="K175" s="170" t="n">
        <v>0</v>
      </c>
      <c r="L175" s="170" t="n">
        <v>11</v>
      </c>
      <c r="M175" s="170" t="n">
        <v>0</v>
      </c>
      <c r="N175" s="170" t="n">
        <v>505</v>
      </c>
      <c r="O175" s="142" t="inlineStr">
        <is>
          <t>["sardines", "canned sardines", "tinned sardines"]</t>
        </is>
      </c>
      <c r="P175" s="142" t="inlineStr">
        <is>
          <t>{"can": 92, "tin": 92, "each": 23}</t>
        </is>
      </c>
      <c r="Q175" s="142" t="inlineStr">
        <is>
          <t>Generic reference – verify</t>
        </is>
      </c>
      <c r="R175" s="142" t="inlineStr"/>
      <c r="S175" s="142" t="inlineStr"/>
      <c r="T175" s="142" t="b">
        <v>0</v>
      </c>
      <c r="U175" s="142" t="inlineStr">
        <is>
          <t>Generic reference estimate; verify against the product label or a confirmed food-composition record.</t>
        </is>
      </c>
      <c r="V175" s="171" t="n">
        <v>46223.89583333334</v>
      </c>
    </row>
    <row r="176">
      <c r="A176" s="142" t="inlineStr">
        <is>
          <t>ING175</t>
        </is>
      </c>
      <c r="B176" s="142" t="inlineStr">
        <is>
          <t>Anchovies, canned</t>
        </is>
      </c>
      <c r="C176" s="142" t="inlineStr"/>
      <c r="D176" s="142" t="inlineStr">
        <is>
          <t>drained</t>
        </is>
      </c>
      <c r="E176" s="142" t="inlineStr">
        <is>
          <t>100 g</t>
        </is>
      </c>
      <c r="F176" s="170" t="n">
        <v>100</v>
      </c>
      <c r="G176" s="170" t="inlineStr">
        <is>
          <t>g</t>
        </is>
      </c>
      <c r="H176" s="170" t="inlineStr"/>
      <c r="I176" s="170" t="n">
        <v>210</v>
      </c>
      <c r="J176" s="170" t="n">
        <v>29</v>
      </c>
      <c r="K176" s="170" t="n">
        <v>0</v>
      </c>
      <c r="L176" s="170" t="n">
        <v>10</v>
      </c>
      <c r="M176" s="170" t="n">
        <v>0</v>
      </c>
      <c r="N176" s="170" t="n">
        <v>3668</v>
      </c>
      <c r="O176" s="142" t="inlineStr">
        <is>
          <t>["anchovy", "anchovies", "anchovy fillets"]</t>
        </is>
      </c>
      <c r="P176" s="142" t="inlineStr">
        <is>
          <t>{"fillet": 4, "each": 4, "can": 45}</t>
        </is>
      </c>
      <c r="Q176" s="142" t="inlineStr">
        <is>
          <t>Generic reference – verify</t>
        </is>
      </c>
      <c r="R176" s="142" t="inlineStr"/>
      <c r="S176" s="142" t="inlineStr"/>
      <c r="T176" s="142" t="b">
        <v>0</v>
      </c>
      <c r="U176" s="142" t="inlineStr">
        <is>
          <t>Generic reference estimate; verify against the product label or a confirmed food-composition record.</t>
        </is>
      </c>
      <c r="V176" s="171" t="n">
        <v>46223.89583333334</v>
      </c>
    </row>
    <row r="177">
      <c r="A177" s="142" t="inlineStr">
        <is>
          <t>ING176</t>
        </is>
      </c>
      <c r="B177" s="142" t="inlineStr">
        <is>
          <t>White fish fillet, raw</t>
        </is>
      </c>
      <c r="C177" s="142" t="inlineStr"/>
      <c r="D177" s="142" t="inlineStr">
        <is>
          <t>raw</t>
        </is>
      </c>
      <c r="E177" s="142" t="inlineStr">
        <is>
          <t>100 g</t>
        </is>
      </c>
      <c r="F177" s="170" t="n">
        <v>100</v>
      </c>
      <c r="G177" s="170" t="inlineStr">
        <is>
          <t>g</t>
        </is>
      </c>
      <c r="H177" s="170" t="inlineStr"/>
      <c r="I177" s="170" t="n">
        <v>90</v>
      </c>
      <c r="J177" s="170" t="n">
        <v>20</v>
      </c>
      <c r="K177" s="170" t="n">
        <v>0</v>
      </c>
      <c r="L177" s="170" t="n">
        <v>1</v>
      </c>
      <c r="M177" s="170" t="n">
        <v>0</v>
      </c>
      <c r="N177" s="170" t="n">
        <v>70</v>
      </c>
      <c r="O177" s="142" t="inlineStr">
        <is>
          <t>["white fish", "white-fleshed fish", "fish fillet"]</t>
        </is>
      </c>
      <c r="P177" s="142" t="inlineStr">
        <is>
          <t>{"fillet": 170, "each": 170}</t>
        </is>
      </c>
      <c r="Q177" s="142" t="inlineStr">
        <is>
          <t>Generic reference – verify</t>
        </is>
      </c>
      <c r="R177" s="142" t="inlineStr"/>
      <c r="S177" s="142" t="inlineStr"/>
      <c r="T177" s="142" t="b">
        <v>0</v>
      </c>
      <c r="U177" s="142" t="inlineStr">
        <is>
          <t>Generic reference estimate; verify against the product label or a confirmed food-composition record.</t>
        </is>
      </c>
      <c r="V177" s="171" t="n">
        <v>46223.89583333334</v>
      </c>
    </row>
    <row r="178">
      <c r="A178" s="142" t="inlineStr">
        <is>
          <t>ING177</t>
        </is>
      </c>
      <c r="B178" s="142" t="inlineStr">
        <is>
          <t>Cod fillet, raw</t>
        </is>
      </c>
      <c r="C178" s="142" t="inlineStr"/>
      <c r="D178" s="142" t="inlineStr">
        <is>
          <t>raw</t>
        </is>
      </c>
      <c r="E178" s="142" t="inlineStr">
        <is>
          <t>100 g</t>
        </is>
      </c>
      <c r="F178" s="170" t="n">
        <v>100</v>
      </c>
      <c r="G178" s="170" t="inlineStr">
        <is>
          <t>g</t>
        </is>
      </c>
      <c r="H178" s="170" t="inlineStr"/>
      <c r="I178" s="170" t="n">
        <v>82</v>
      </c>
      <c r="J178" s="170" t="n">
        <v>18</v>
      </c>
      <c r="K178" s="170" t="n">
        <v>0</v>
      </c>
      <c r="L178" s="170" t="n">
        <v>0.7</v>
      </c>
      <c r="M178" s="170" t="n">
        <v>0</v>
      </c>
      <c r="N178" s="170" t="n">
        <v>54</v>
      </c>
      <c r="O178" s="142" t="inlineStr">
        <is>
          <t>["cod", "cod fillet", "cod fillets"]</t>
        </is>
      </c>
      <c r="P178" s="142" t="inlineStr">
        <is>
          <t>{"fillet": 170, "each": 170}</t>
        </is>
      </c>
      <c r="Q178" s="142" t="inlineStr">
        <is>
          <t>Generic reference – verify</t>
        </is>
      </c>
      <c r="R178" s="142" t="inlineStr"/>
      <c r="S178" s="142" t="inlineStr"/>
      <c r="T178" s="142" t="b">
        <v>0</v>
      </c>
      <c r="U178" s="142" t="inlineStr">
        <is>
          <t>Generic reference estimate; verify against the product label or a confirmed food-composition record.</t>
        </is>
      </c>
      <c r="V178" s="171" t="n">
        <v>46223.89583333334</v>
      </c>
    </row>
    <row r="179">
      <c r="A179" s="142" t="inlineStr">
        <is>
          <t>ING178</t>
        </is>
      </c>
      <c r="B179" s="142" t="inlineStr">
        <is>
          <t>Tuna steak, raw</t>
        </is>
      </c>
      <c r="C179" s="142" t="inlineStr"/>
      <c r="D179" s="142" t="inlineStr">
        <is>
          <t>raw</t>
        </is>
      </c>
      <c r="E179" s="142" t="inlineStr">
        <is>
          <t>100 g</t>
        </is>
      </c>
      <c r="F179" s="170" t="n">
        <v>100</v>
      </c>
      <c r="G179" s="170" t="inlineStr">
        <is>
          <t>g</t>
        </is>
      </c>
      <c r="H179" s="170" t="inlineStr"/>
      <c r="I179" s="170" t="n">
        <v>144</v>
      </c>
      <c r="J179" s="170" t="n">
        <v>23</v>
      </c>
      <c r="K179" s="170" t="n">
        <v>0</v>
      </c>
      <c r="L179" s="170" t="n">
        <v>4.9</v>
      </c>
      <c r="M179" s="170" t="n">
        <v>0</v>
      </c>
      <c r="N179" s="170" t="n">
        <v>39</v>
      </c>
      <c r="O179" s="142" t="inlineStr">
        <is>
          <t>["fresh tuna", "tuna steak"]</t>
        </is>
      </c>
      <c r="P179" s="142" t="inlineStr">
        <is>
          <t>{"steak": 170, "fillet": 170, "each": 170}</t>
        </is>
      </c>
      <c r="Q179" s="142" t="inlineStr">
        <is>
          <t>Generic reference – verify</t>
        </is>
      </c>
      <c r="R179" s="142" t="inlineStr"/>
      <c r="S179" s="142" t="inlineStr"/>
      <c r="T179" s="142" t="b">
        <v>0</v>
      </c>
      <c r="U179" s="142" t="inlineStr">
        <is>
          <t>Generic reference estimate; verify against the product label or a confirmed food-composition record.</t>
        </is>
      </c>
      <c r="V179" s="171" t="n">
        <v>46223.89583333334</v>
      </c>
    </row>
    <row r="180">
      <c r="A180" s="142" t="inlineStr">
        <is>
          <t>ING179</t>
        </is>
      </c>
      <c r="B180" s="142" t="inlineStr">
        <is>
          <t>Beetroot, raw</t>
        </is>
      </c>
      <c r="C180" s="142" t="inlineStr"/>
      <c r="D180" s="142" t="inlineStr">
        <is>
          <t>raw</t>
        </is>
      </c>
      <c r="E180" s="142" t="inlineStr">
        <is>
          <t>100 g</t>
        </is>
      </c>
      <c r="F180" s="170" t="n">
        <v>100</v>
      </c>
      <c r="G180" s="170" t="inlineStr">
        <is>
          <t>g</t>
        </is>
      </c>
      <c r="H180" s="170" t="inlineStr"/>
      <c r="I180" s="170" t="n">
        <v>43</v>
      </c>
      <c r="J180" s="170" t="n">
        <v>1.6</v>
      </c>
      <c r="K180" s="170" t="n">
        <v>9.6</v>
      </c>
      <c r="L180" s="170" t="n">
        <v>0.2</v>
      </c>
      <c r="M180" s="170" t="n">
        <v>2.8</v>
      </c>
      <c r="N180" s="170" t="n">
        <v>78</v>
      </c>
      <c r="O180" s="142" t="inlineStr">
        <is>
          <t>["beetroot", "beet", "beets"]</t>
        </is>
      </c>
      <c r="P180" s="142" t="inlineStr">
        <is>
          <t>{"each": 82, "medium": 82, "cup": 136}</t>
        </is>
      </c>
      <c r="Q180" s="142" t="inlineStr">
        <is>
          <t>Generic reference – verify</t>
        </is>
      </c>
      <c r="R180" s="142" t="inlineStr"/>
      <c r="S180" s="142" t="inlineStr"/>
      <c r="T180" s="142" t="b">
        <v>0</v>
      </c>
      <c r="U180" s="142" t="inlineStr">
        <is>
          <t>Generic reference estimate; verify against the product label or a confirmed food-composition record.</t>
        </is>
      </c>
      <c r="V180" s="171" t="n">
        <v>46223.89583333334</v>
      </c>
    </row>
    <row r="181">
      <c r="A181" s="142" t="inlineStr">
        <is>
          <t>ING180</t>
        </is>
      </c>
      <c r="B181" s="142" t="inlineStr">
        <is>
          <t>Pumpkin, raw</t>
        </is>
      </c>
      <c r="C181" s="142" t="inlineStr"/>
      <c r="D181" s="142" t="inlineStr">
        <is>
          <t>raw</t>
        </is>
      </c>
      <c r="E181" s="142" t="inlineStr">
        <is>
          <t>100 g</t>
        </is>
      </c>
      <c r="F181" s="170" t="n">
        <v>100</v>
      </c>
      <c r="G181" s="170" t="inlineStr">
        <is>
          <t>g</t>
        </is>
      </c>
      <c r="H181" s="170" t="inlineStr"/>
      <c r="I181" s="170" t="n">
        <v>26</v>
      </c>
      <c r="J181" s="170" t="n">
        <v>1</v>
      </c>
      <c r="K181" s="170" t="n">
        <v>6.5</v>
      </c>
      <c r="L181" s="170" t="n">
        <v>0.1</v>
      </c>
      <c r="M181" s="170" t="n">
        <v>0.5</v>
      </c>
      <c r="N181" s="170" t="n">
        <v>1</v>
      </c>
      <c r="O181" s="142" t="inlineStr">
        <is>
          <t>["pumpkin", "pumpkin flesh"]</t>
        </is>
      </c>
      <c r="P181" s="142" t="inlineStr">
        <is>
          <t>{"cup": 116, "slice": 100}</t>
        </is>
      </c>
      <c r="Q181" s="142" t="inlineStr">
        <is>
          <t>Generic reference – verify</t>
        </is>
      </c>
      <c r="R181" s="142" t="inlineStr"/>
      <c r="S181" s="142" t="inlineStr"/>
      <c r="T181" s="142" t="b">
        <v>0</v>
      </c>
      <c r="U181" s="142" t="inlineStr">
        <is>
          <t>Generic reference estimate; verify against the product label or a confirmed food-composition record.</t>
        </is>
      </c>
      <c r="V181" s="171" t="n">
        <v>46223.89583333334</v>
      </c>
    </row>
    <row r="182">
      <c r="A182" s="142" t="inlineStr">
        <is>
          <t>ING181</t>
        </is>
      </c>
      <c r="B182" s="142" t="inlineStr">
        <is>
          <t>Swede, raw</t>
        </is>
      </c>
      <c r="C182" s="142" t="inlineStr"/>
      <c r="D182" s="142" t="inlineStr">
        <is>
          <t>raw</t>
        </is>
      </c>
      <c r="E182" s="142" t="inlineStr">
        <is>
          <t>100 g</t>
        </is>
      </c>
      <c r="F182" s="170" t="n">
        <v>100</v>
      </c>
      <c r="G182" s="170" t="inlineStr">
        <is>
          <t>g</t>
        </is>
      </c>
      <c r="H182" s="170" t="inlineStr"/>
      <c r="I182" s="170" t="n">
        <v>37</v>
      </c>
      <c r="J182" s="170" t="n">
        <v>1.1</v>
      </c>
      <c r="K182" s="170" t="n">
        <v>8.6</v>
      </c>
      <c r="L182" s="170" t="n">
        <v>0.2</v>
      </c>
      <c r="M182" s="170" t="n">
        <v>2.3</v>
      </c>
      <c r="N182" s="170" t="n">
        <v>12</v>
      </c>
      <c r="O182" s="142" t="inlineStr">
        <is>
          <t>["rutabaga", "swede"]</t>
        </is>
      </c>
      <c r="P182" s="142" t="inlineStr">
        <is>
          <t>{"each": 386, "cup": 140}</t>
        </is>
      </c>
      <c r="Q182" s="142" t="inlineStr">
        <is>
          <t>Generic reference – verify</t>
        </is>
      </c>
      <c r="R182" s="142" t="inlineStr"/>
      <c r="S182" s="142" t="inlineStr"/>
      <c r="T182" s="142" t="b">
        <v>0</v>
      </c>
      <c r="U182" s="142" t="inlineStr">
        <is>
          <t>Generic reference estimate; verify against the product label or a confirmed food-composition record.</t>
        </is>
      </c>
      <c r="V182" s="171" t="n">
        <v>46223.89583333334</v>
      </c>
    </row>
    <row r="183">
      <c r="A183" s="142" t="inlineStr">
        <is>
          <t>ING182</t>
        </is>
      </c>
      <c r="B183" s="142" t="inlineStr">
        <is>
          <t>Radicchio, raw</t>
        </is>
      </c>
      <c r="C183" s="142" t="inlineStr"/>
      <c r="D183" s="142" t="inlineStr">
        <is>
          <t>raw</t>
        </is>
      </c>
      <c r="E183" s="142" t="inlineStr">
        <is>
          <t>100 g</t>
        </is>
      </c>
      <c r="F183" s="170" t="n">
        <v>100</v>
      </c>
      <c r="G183" s="170" t="inlineStr">
        <is>
          <t>g</t>
        </is>
      </c>
      <c r="H183" s="170" t="inlineStr"/>
      <c r="I183" s="170" t="n">
        <v>23</v>
      </c>
      <c r="J183" s="170" t="n">
        <v>1.4</v>
      </c>
      <c r="K183" s="170" t="n">
        <v>4.5</v>
      </c>
      <c r="L183" s="170" t="n">
        <v>0.3</v>
      </c>
      <c r="M183" s="170" t="n">
        <v>0.9</v>
      </c>
      <c r="N183" s="170" t="n">
        <v>22</v>
      </c>
      <c r="O183" s="142" t="inlineStr">
        <is>
          <t>["radicchio"]</t>
        </is>
      </c>
      <c r="P183" s="142" t="inlineStr">
        <is>
          <t>{"head": 200, "cup": 40}</t>
        </is>
      </c>
      <c r="Q183" s="142" t="inlineStr">
        <is>
          <t>Generic reference – verify</t>
        </is>
      </c>
      <c r="R183" s="142" t="inlineStr"/>
      <c r="S183" s="142" t="inlineStr"/>
      <c r="T183" s="142" t="b">
        <v>0</v>
      </c>
      <c r="U183" s="142" t="inlineStr">
        <is>
          <t>Generic reference estimate; verify against the product label or a confirmed food-composition record.</t>
        </is>
      </c>
      <c r="V183" s="171" t="n">
        <v>46223.89583333334</v>
      </c>
    </row>
    <row r="184">
      <c r="A184" s="142" t="inlineStr">
        <is>
          <t>ING183</t>
        </is>
      </c>
      <c r="B184" s="142" t="inlineStr">
        <is>
          <t>Kale, raw</t>
        </is>
      </c>
      <c r="C184" s="142" t="inlineStr"/>
      <c r="D184" s="142" t="inlineStr">
        <is>
          <t>raw</t>
        </is>
      </c>
      <c r="E184" s="142" t="inlineStr">
        <is>
          <t>100 g</t>
        </is>
      </c>
      <c r="F184" s="170" t="n">
        <v>100</v>
      </c>
      <c r="G184" s="170" t="inlineStr">
        <is>
          <t>g</t>
        </is>
      </c>
      <c r="H184" s="170" t="inlineStr"/>
      <c r="I184" s="170" t="n">
        <v>35</v>
      </c>
      <c r="J184" s="170" t="n">
        <v>2.9</v>
      </c>
      <c r="K184" s="170" t="n">
        <v>4.4</v>
      </c>
      <c r="L184" s="170" t="n">
        <v>1.5</v>
      </c>
      <c r="M184" s="170" t="n">
        <v>4.1</v>
      </c>
      <c r="N184" s="170" t="n">
        <v>53</v>
      </c>
      <c r="O184" s="142" t="inlineStr">
        <is>
          <t>["kale", "kale leaves"]</t>
        </is>
      </c>
      <c r="P184" s="142" t="inlineStr">
        <is>
          <t>{"cup": 21, "handful": 30}</t>
        </is>
      </c>
      <c r="Q184" s="142" t="inlineStr">
        <is>
          <t>Generic reference – verify</t>
        </is>
      </c>
      <c r="R184" s="142" t="inlineStr"/>
      <c r="S184" s="142" t="inlineStr"/>
      <c r="T184" s="142" t="b">
        <v>0</v>
      </c>
      <c r="U184" s="142" t="inlineStr">
        <is>
          <t>Generic reference estimate; verify against the product label or a confirmed food-composition record.</t>
        </is>
      </c>
      <c r="V184" s="171" t="n">
        <v>46223.89583333334</v>
      </c>
    </row>
    <row r="185">
      <c r="A185" s="142" t="inlineStr">
        <is>
          <t>ING184</t>
        </is>
      </c>
      <c r="B185" s="142" t="inlineStr">
        <is>
          <t>Beet greens, raw</t>
        </is>
      </c>
      <c r="C185" s="142" t="inlineStr"/>
      <c r="D185" s="142" t="inlineStr">
        <is>
          <t>raw</t>
        </is>
      </c>
      <c r="E185" s="142" t="inlineStr">
        <is>
          <t>100 g</t>
        </is>
      </c>
      <c r="F185" s="170" t="n">
        <v>100</v>
      </c>
      <c r="G185" s="170" t="inlineStr">
        <is>
          <t>g</t>
        </is>
      </c>
      <c r="H185" s="170" t="inlineStr"/>
      <c r="I185" s="170" t="n">
        <v>22</v>
      </c>
      <c r="J185" s="170" t="n">
        <v>2.2</v>
      </c>
      <c r="K185" s="170" t="n">
        <v>4.3</v>
      </c>
      <c r="L185" s="170" t="n">
        <v>0.1</v>
      </c>
      <c r="M185" s="170" t="n">
        <v>3.7</v>
      </c>
      <c r="N185" s="170" t="n">
        <v>226</v>
      </c>
      <c r="O185" s="142" t="inlineStr">
        <is>
          <t>["beet leaves", "beetroot leaves", "beet greens"]</t>
        </is>
      </c>
      <c r="P185" s="142" t="inlineStr">
        <is>
          <t>{"cup": 38, "handful": 30}</t>
        </is>
      </c>
      <c r="Q185" s="142" t="inlineStr">
        <is>
          <t>Generic reference – verify</t>
        </is>
      </c>
      <c r="R185" s="142" t="inlineStr"/>
      <c r="S185" s="142" t="inlineStr"/>
      <c r="T185" s="142" t="b">
        <v>0</v>
      </c>
      <c r="U185" s="142" t="inlineStr">
        <is>
          <t>Generic reference estimate; verify against the product label or a confirmed food-composition record.</t>
        </is>
      </c>
      <c r="V185" s="171" t="n">
        <v>46223.89583333334</v>
      </c>
    </row>
    <row r="186">
      <c r="A186" s="142" t="inlineStr">
        <is>
          <t>ING185</t>
        </is>
      </c>
      <c r="B186" s="142" t="inlineStr">
        <is>
          <t>Fennel bulb, raw</t>
        </is>
      </c>
      <c r="C186" s="142" t="inlineStr"/>
      <c r="D186" s="142" t="inlineStr">
        <is>
          <t>raw</t>
        </is>
      </c>
      <c r="E186" s="142" t="inlineStr">
        <is>
          <t>100 g</t>
        </is>
      </c>
      <c r="F186" s="170" t="n">
        <v>100</v>
      </c>
      <c r="G186" s="170" t="inlineStr">
        <is>
          <t>g</t>
        </is>
      </c>
      <c r="H186" s="170" t="inlineStr"/>
      <c r="I186" s="170" t="n">
        <v>31</v>
      </c>
      <c r="J186" s="170" t="n">
        <v>1.2</v>
      </c>
      <c r="K186" s="170" t="n">
        <v>7.3</v>
      </c>
      <c r="L186" s="170" t="n">
        <v>0.2</v>
      </c>
      <c r="M186" s="170" t="n">
        <v>3.1</v>
      </c>
      <c r="N186" s="170" t="n">
        <v>52</v>
      </c>
      <c r="O186" s="142" t="inlineStr">
        <is>
          <t>["fennel", "fennel bulb"]</t>
        </is>
      </c>
      <c r="P186" s="142" t="inlineStr">
        <is>
          <t>{"each": 234, "cup": 87}</t>
        </is>
      </c>
      <c r="Q186" s="142" t="inlineStr">
        <is>
          <t>Generic reference – verify</t>
        </is>
      </c>
      <c r="R186" s="142" t="inlineStr"/>
      <c r="S186" s="142" t="inlineStr"/>
      <c r="T186" s="142" t="b">
        <v>0</v>
      </c>
      <c r="U186" s="142" t="inlineStr">
        <is>
          <t>Generic reference estimate; verify against the product label or a confirmed food-composition record.</t>
        </is>
      </c>
      <c r="V186" s="171" t="n">
        <v>46223.89583333334</v>
      </c>
    </row>
    <row r="187">
      <c r="A187" s="142" t="inlineStr">
        <is>
          <t>ING186</t>
        </is>
      </c>
      <c r="B187" s="142" t="inlineStr">
        <is>
          <t>Sweetcorn kernels</t>
        </is>
      </c>
      <c r="C187" s="142" t="inlineStr"/>
      <c r="D187" s="142" t="inlineStr">
        <is>
          <t>cooked</t>
        </is>
      </c>
      <c r="E187" s="142" t="inlineStr">
        <is>
          <t>100 g</t>
        </is>
      </c>
      <c r="F187" s="170" t="n">
        <v>100</v>
      </c>
      <c r="G187" s="170" t="inlineStr">
        <is>
          <t>g</t>
        </is>
      </c>
      <c r="H187" s="170" t="inlineStr"/>
      <c r="I187" s="170" t="n">
        <v>86</v>
      </c>
      <c r="J187" s="170" t="n">
        <v>3.3</v>
      </c>
      <c r="K187" s="170" t="n">
        <v>19</v>
      </c>
      <c r="L187" s="170" t="n">
        <v>1.4</v>
      </c>
      <c r="M187" s="170" t="n">
        <v>2.7</v>
      </c>
      <c r="N187" s="170" t="n">
        <v>15</v>
      </c>
      <c r="O187" s="142" t="inlineStr">
        <is>
          <t>["corn", "sweet corn", "corn kernels"]</t>
        </is>
      </c>
      <c r="P187" s="142" t="inlineStr">
        <is>
          <t>{"cup": 145, "cob": 90, "each": 90}</t>
        </is>
      </c>
      <c r="Q187" s="142" t="inlineStr">
        <is>
          <t>Generic reference – verify</t>
        </is>
      </c>
      <c r="R187" s="142" t="inlineStr"/>
      <c r="S187" s="142" t="inlineStr"/>
      <c r="T187" s="142" t="b">
        <v>0</v>
      </c>
      <c r="U187" s="142" t="inlineStr">
        <is>
          <t>Generic reference estimate; verify against the product label or a confirmed food-composition record.</t>
        </is>
      </c>
      <c r="V187" s="171" t="n">
        <v>46223.89583333334</v>
      </c>
    </row>
    <row r="188">
      <c r="A188" s="142" t="inlineStr">
        <is>
          <t>ING187</t>
        </is>
      </c>
      <c r="B188" s="142" t="inlineStr">
        <is>
          <t>Green peas, cooked</t>
        </is>
      </c>
      <c r="C188" s="142" t="inlineStr"/>
      <c r="D188" s="142" t="inlineStr">
        <is>
          <t>cooked</t>
        </is>
      </c>
      <c r="E188" s="142" t="inlineStr">
        <is>
          <t>100 g</t>
        </is>
      </c>
      <c r="F188" s="170" t="n">
        <v>100</v>
      </c>
      <c r="G188" s="170" t="inlineStr">
        <is>
          <t>g</t>
        </is>
      </c>
      <c r="H188" s="170" t="inlineStr"/>
      <c r="I188" s="170" t="n">
        <v>84</v>
      </c>
      <c r="J188" s="170" t="n">
        <v>5.4</v>
      </c>
      <c r="K188" s="170" t="n">
        <v>15</v>
      </c>
      <c r="L188" s="170" t="n">
        <v>0.2</v>
      </c>
      <c r="M188" s="170" t="n">
        <v>5.5</v>
      </c>
      <c r="N188" s="170" t="n">
        <v>3</v>
      </c>
      <c r="O188" s="142" t="inlineStr">
        <is>
          <t>["peas", "green peas", "frozen peas"]</t>
        </is>
      </c>
      <c r="P188" s="142" t="inlineStr">
        <is>
          <t>{"cup": 160}</t>
        </is>
      </c>
      <c r="Q188" s="142" t="inlineStr">
        <is>
          <t>Generic reference – verify</t>
        </is>
      </c>
      <c r="R188" s="142" t="inlineStr"/>
      <c r="S188" s="142" t="inlineStr"/>
      <c r="T188" s="142" t="b">
        <v>0</v>
      </c>
      <c r="U188" s="142" t="inlineStr">
        <is>
          <t>Generic reference estimate; verify against the product label or a confirmed food-composition record.</t>
        </is>
      </c>
      <c r="V188" s="171" t="n">
        <v>46223.89583333334</v>
      </c>
    </row>
    <row r="189">
      <c r="A189" s="142" t="inlineStr">
        <is>
          <t>ING188</t>
        </is>
      </c>
      <c r="B189" s="142" t="inlineStr">
        <is>
          <t>Butternut squash, raw</t>
        </is>
      </c>
      <c r="C189" s="142" t="inlineStr"/>
      <c r="D189" s="142" t="inlineStr">
        <is>
          <t>raw</t>
        </is>
      </c>
      <c r="E189" s="142" t="inlineStr">
        <is>
          <t>100 g</t>
        </is>
      </c>
      <c r="F189" s="170" t="n">
        <v>100</v>
      </c>
      <c r="G189" s="170" t="inlineStr">
        <is>
          <t>g</t>
        </is>
      </c>
      <c r="H189" s="170" t="inlineStr"/>
      <c r="I189" s="170" t="n">
        <v>45</v>
      </c>
      <c r="J189" s="170" t="n">
        <v>1</v>
      </c>
      <c r="K189" s="170" t="n">
        <v>12</v>
      </c>
      <c r="L189" s="170" t="n">
        <v>0.1</v>
      </c>
      <c r="M189" s="170" t="n">
        <v>2</v>
      </c>
      <c r="N189" s="170" t="n">
        <v>4</v>
      </c>
      <c r="O189" s="142" t="inlineStr">
        <is>
          <t>["butternut", "butternut squash"]</t>
        </is>
      </c>
      <c r="P189" s="142" t="inlineStr">
        <is>
          <t>{"cup": 140, "each": 1000}</t>
        </is>
      </c>
      <c r="Q189" s="142" t="inlineStr">
        <is>
          <t>Generic reference – verify</t>
        </is>
      </c>
      <c r="R189" s="142" t="inlineStr"/>
      <c r="S189" s="142" t="inlineStr"/>
      <c r="T189" s="142" t="b">
        <v>0</v>
      </c>
      <c r="U189" s="142" t="inlineStr">
        <is>
          <t>Generic reference estimate; verify against the product label or a confirmed food-composition record.</t>
        </is>
      </c>
      <c r="V189" s="171" t="n">
        <v>46223.89583333334</v>
      </c>
    </row>
    <row r="190">
      <c r="A190" s="142" t="inlineStr">
        <is>
          <t>ING189</t>
        </is>
      </c>
      <c r="B190" s="142" t="inlineStr">
        <is>
          <t>Dates, dried</t>
        </is>
      </c>
      <c r="C190" s="142" t="inlineStr"/>
      <c r="D190" s="142" t="inlineStr">
        <is>
          <t>dried</t>
        </is>
      </c>
      <c r="E190" s="142" t="inlineStr">
        <is>
          <t>100 g</t>
        </is>
      </c>
      <c r="F190" s="170" t="n">
        <v>100</v>
      </c>
      <c r="G190" s="170" t="inlineStr">
        <is>
          <t>g</t>
        </is>
      </c>
      <c r="H190" s="170" t="inlineStr"/>
      <c r="I190" s="170" t="n">
        <v>282</v>
      </c>
      <c r="J190" s="170" t="n">
        <v>2.5</v>
      </c>
      <c r="K190" s="170" t="n">
        <v>75</v>
      </c>
      <c r="L190" s="170" t="n">
        <v>0.4</v>
      </c>
      <c r="M190" s="170" t="n">
        <v>8</v>
      </c>
      <c r="N190" s="170" t="n">
        <v>2</v>
      </c>
      <c r="O190" s="142" t="inlineStr">
        <is>
          <t>["date", "dates", "medjool dates"]</t>
        </is>
      </c>
      <c r="P190" s="142" t="inlineStr">
        <is>
          <t>{"each": 24, "cup": 147}</t>
        </is>
      </c>
      <c r="Q190" s="142" t="inlineStr">
        <is>
          <t>Generic reference – verify</t>
        </is>
      </c>
      <c r="R190" s="142" t="inlineStr"/>
      <c r="S190" s="142" t="inlineStr"/>
      <c r="T190" s="142" t="b">
        <v>0</v>
      </c>
      <c r="U190" s="142" t="inlineStr">
        <is>
          <t>Generic reference estimate; verify against the product label or a confirmed food-composition record.</t>
        </is>
      </c>
      <c r="V190" s="171" t="n">
        <v>46223.89583333334</v>
      </c>
    </row>
    <row r="191">
      <c r="A191" s="142" t="inlineStr">
        <is>
          <t>ING190</t>
        </is>
      </c>
      <c r="B191" s="142" t="inlineStr">
        <is>
          <t>Pear, raw</t>
        </is>
      </c>
      <c r="C191" s="142" t="inlineStr"/>
      <c r="D191" s="142" t="inlineStr">
        <is>
          <t>raw</t>
        </is>
      </c>
      <c r="E191" s="142" t="inlineStr">
        <is>
          <t>100 g</t>
        </is>
      </c>
      <c r="F191" s="170" t="n">
        <v>100</v>
      </c>
      <c r="G191" s="170" t="inlineStr">
        <is>
          <t>g</t>
        </is>
      </c>
      <c r="H191" s="170" t="inlineStr"/>
      <c r="I191" s="170" t="n">
        <v>57</v>
      </c>
      <c r="J191" s="170" t="n">
        <v>0.4</v>
      </c>
      <c r="K191" s="170" t="n">
        <v>15</v>
      </c>
      <c r="L191" s="170" t="n">
        <v>0.1</v>
      </c>
      <c r="M191" s="170" t="n">
        <v>3.1</v>
      </c>
      <c r="N191" s="170" t="n">
        <v>1</v>
      </c>
      <c r="O191" s="142" t="inlineStr">
        <is>
          <t>["pear", "pears"]</t>
        </is>
      </c>
      <c r="P191" s="142" t="inlineStr">
        <is>
          <t>{"each": 178, "medium": 178, "cup": 140}</t>
        </is>
      </c>
      <c r="Q191" s="142" t="inlineStr">
        <is>
          <t>Generic reference – verify</t>
        </is>
      </c>
      <c r="R191" s="142" t="inlineStr"/>
      <c r="S191" s="142" t="inlineStr"/>
      <c r="T191" s="142" t="b">
        <v>0</v>
      </c>
      <c r="U191" s="142" t="inlineStr">
        <is>
          <t>Generic reference estimate; verify against the product label or a confirmed food-composition record.</t>
        </is>
      </c>
      <c r="V191" s="171" t="n">
        <v>46223.89583333334</v>
      </c>
    </row>
    <row r="192">
      <c r="A192" s="142" t="inlineStr">
        <is>
          <t>ING191</t>
        </is>
      </c>
      <c r="B192" s="142" t="inlineStr">
        <is>
          <t>Blackberries, raw</t>
        </is>
      </c>
      <c r="C192" s="142" t="inlineStr"/>
      <c r="D192" s="142" t="inlineStr">
        <is>
          <t>raw</t>
        </is>
      </c>
      <c r="E192" s="142" t="inlineStr">
        <is>
          <t>100 g</t>
        </is>
      </c>
      <c r="F192" s="170" t="n">
        <v>100</v>
      </c>
      <c r="G192" s="170" t="inlineStr">
        <is>
          <t>g</t>
        </is>
      </c>
      <c r="H192" s="170" t="inlineStr"/>
      <c r="I192" s="170" t="n">
        <v>43</v>
      </c>
      <c r="J192" s="170" t="n">
        <v>1.4</v>
      </c>
      <c r="K192" s="170" t="n">
        <v>10</v>
      </c>
      <c r="L192" s="170" t="n">
        <v>0.5</v>
      </c>
      <c r="M192" s="170" t="n">
        <v>5.3</v>
      </c>
      <c r="N192" s="170" t="n">
        <v>1</v>
      </c>
      <c r="O192" s="142" t="inlineStr">
        <is>
          <t>["blackberry", "blackberries"]</t>
        </is>
      </c>
      <c r="P192" s="142" t="inlineStr">
        <is>
          <t>{"cup": 144}</t>
        </is>
      </c>
      <c r="Q192" s="142" t="inlineStr">
        <is>
          <t>Generic reference – verify</t>
        </is>
      </c>
      <c r="R192" s="142" t="inlineStr"/>
      <c r="S192" s="142" t="inlineStr"/>
      <c r="T192" s="142" t="b">
        <v>0</v>
      </c>
      <c r="U192" s="142" t="inlineStr">
        <is>
          <t>Generic reference estimate; verify against the product label or a confirmed food-composition record.</t>
        </is>
      </c>
      <c r="V192" s="171" t="n">
        <v>46223.89583333334</v>
      </c>
    </row>
    <row r="193">
      <c r="A193" s="142" t="inlineStr">
        <is>
          <t>ING192</t>
        </is>
      </c>
      <c r="B193" s="142" t="inlineStr">
        <is>
          <t>Cherries, raw</t>
        </is>
      </c>
      <c r="C193" s="142" t="inlineStr"/>
      <c r="D193" s="142" t="inlineStr">
        <is>
          <t>raw</t>
        </is>
      </c>
      <c r="E193" s="142" t="inlineStr">
        <is>
          <t>100 g</t>
        </is>
      </c>
      <c r="F193" s="170" t="n">
        <v>100</v>
      </c>
      <c r="G193" s="170" t="inlineStr">
        <is>
          <t>g</t>
        </is>
      </c>
      <c r="H193" s="170" t="inlineStr"/>
      <c r="I193" s="170" t="n">
        <v>63</v>
      </c>
      <c r="J193" s="170" t="n">
        <v>1.1</v>
      </c>
      <c r="K193" s="170" t="n">
        <v>16</v>
      </c>
      <c r="L193" s="170" t="n">
        <v>0.2</v>
      </c>
      <c r="M193" s="170" t="n">
        <v>2.1</v>
      </c>
      <c r="N193" s="170" t="n">
        <v>0</v>
      </c>
      <c r="O193" s="142" t="inlineStr">
        <is>
          <t>["cherry", "cherries"]</t>
        </is>
      </c>
      <c r="P193" s="142" t="inlineStr">
        <is>
          <t>{"cup": 154, "each": 8}</t>
        </is>
      </c>
      <c r="Q193" s="142" t="inlineStr">
        <is>
          <t>Generic reference – verify</t>
        </is>
      </c>
      <c r="R193" s="142" t="inlineStr"/>
      <c r="S193" s="142" t="inlineStr"/>
      <c r="T193" s="142" t="b">
        <v>0</v>
      </c>
      <c r="U193" s="142" t="inlineStr">
        <is>
          <t>Generic reference estimate; verify against the product label or a confirmed food-composition record.</t>
        </is>
      </c>
      <c r="V193" s="171" t="n">
        <v>46223.89583333334</v>
      </c>
    </row>
    <row r="194">
      <c r="A194" s="142" t="inlineStr">
        <is>
          <t>ING193</t>
        </is>
      </c>
      <c r="B194" s="142" t="inlineStr">
        <is>
          <t>Mango, raw</t>
        </is>
      </c>
      <c r="C194" s="142" t="inlineStr"/>
      <c r="D194" s="142" t="inlineStr">
        <is>
          <t>raw</t>
        </is>
      </c>
      <c r="E194" s="142" t="inlineStr">
        <is>
          <t>100 g</t>
        </is>
      </c>
      <c r="F194" s="170" t="n">
        <v>100</v>
      </c>
      <c r="G194" s="170" t="inlineStr">
        <is>
          <t>g</t>
        </is>
      </c>
      <c r="H194" s="170" t="inlineStr"/>
      <c r="I194" s="170" t="n">
        <v>60</v>
      </c>
      <c r="J194" s="170" t="n">
        <v>0.8</v>
      </c>
      <c r="K194" s="170" t="n">
        <v>15</v>
      </c>
      <c r="L194" s="170" t="n">
        <v>0.4</v>
      </c>
      <c r="M194" s="170" t="n">
        <v>1.6</v>
      </c>
      <c r="N194" s="170" t="n">
        <v>1</v>
      </c>
      <c r="O194" s="142" t="inlineStr">
        <is>
          <t>["mango", "mangoes"]</t>
        </is>
      </c>
      <c r="P194" s="142" t="inlineStr">
        <is>
          <t>{"each": 336, "cup": 165}</t>
        </is>
      </c>
      <c r="Q194" s="142" t="inlineStr">
        <is>
          <t>Generic reference – verify</t>
        </is>
      </c>
      <c r="R194" s="142" t="inlineStr"/>
      <c r="S194" s="142" t="inlineStr"/>
      <c r="T194" s="142" t="b">
        <v>0</v>
      </c>
      <c r="U194" s="142" t="inlineStr">
        <is>
          <t>Generic reference estimate; verify against the product label or a confirmed food-composition record.</t>
        </is>
      </c>
      <c r="V194" s="171" t="n">
        <v>46223.89583333334</v>
      </c>
    </row>
    <row r="195">
      <c r="A195" s="142" t="inlineStr">
        <is>
          <t>ING194</t>
        </is>
      </c>
      <c r="B195" s="142" t="inlineStr">
        <is>
          <t>Pineapple, raw</t>
        </is>
      </c>
      <c r="C195" s="142" t="inlineStr"/>
      <c r="D195" s="142" t="inlineStr">
        <is>
          <t>raw</t>
        </is>
      </c>
      <c r="E195" s="142" t="inlineStr">
        <is>
          <t>100 g</t>
        </is>
      </c>
      <c r="F195" s="170" t="n">
        <v>100</v>
      </c>
      <c r="G195" s="170" t="inlineStr">
        <is>
          <t>g</t>
        </is>
      </c>
      <c r="H195" s="170" t="inlineStr"/>
      <c r="I195" s="170" t="n">
        <v>50</v>
      </c>
      <c r="J195" s="170" t="n">
        <v>0.5</v>
      </c>
      <c r="K195" s="170" t="n">
        <v>13</v>
      </c>
      <c r="L195" s="170" t="n">
        <v>0.1</v>
      </c>
      <c r="M195" s="170" t="n">
        <v>1.4</v>
      </c>
      <c r="N195" s="170" t="n">
        <v>1</v>
      </c>
      <c r="O195" s="142" t="inlineStr">
        <is>
          <t>["pineapple"]</t>
        </is>
      </c>
      <c r="P195" s="142" t="inlineStr">
        <is>
          <t>{"cup": 165, "slice": 84}</t>
        </is>
      </c>
      <c r="Q195" s="142" t="inlineStr">
        <is>
          <t>Generic reference – verify</t>
        </is>
      </c>
      <c r="R195" s="142" t="inlineStr"/>
      <c r="S195" s="142" t="inlineStr"/>
      <c r="T195" s="142" t="b">
        <v>0</v>
      </c>
      <c r="U195" s="142" t="inlineStr">
        <is>
          <t>Generic reference estimate; verify against the product label or a confirmed food-composition record.</t>
        </is>
      </c>
      <c r="V195" s="171" t="n">
        <v>46223.89583333334</v>
      </c>
    </row>
    <row r="196">
      <c r="A196" s="142" t="inlineStr">
        <is>
          <t>ING195</t>
        </is>
      </c>
      <c r="B196" s="142" t="inlineStr">
        <is>
          <t>Grapes, raw</t>
        </is>
      </c>
      <c r="C196" s="142" t="inlineStr"/>
      <c r="D196" s="142" t="inlineStr">
        <is>
          <t>raw</t>
        </is>
      </c>
      <c r="E196" s="142" t="inlineStr">
        <is>
          <t>100 g</t>
        </is>
      </c>
      <c r="F196" s="170" t="n">
        <v>100</v>
      </c>
      <c r="G196" s="170" t="inlineStr">
        <is>
          <t>g</t>
        </is>
      </c>
      <c r="H196" s="170" t="inlineStr"/>
      <c r="I196" s="170" t="n">
        <v>69</v>
      </c>
      <c r="J196" s="170" t="n">
        <v>0.7</v>
      </c>
      <c r="K196" s="170" t="n">
        <v>18</v>
      </c>
      <c r="L196" s="170" t="n">
        <v>0.2</v>
      </c>
      <c r="M196" s="170" t="n">
        <v>0.9</v>
      </c>
      <c r="N196" s="170" t="n">
        <v>2</v>
      </c>
      <c r="O196" s="142" t="inlineStr">
        <is>
          <t>["grape", "grapes"]</t>
        </is>
      </c>
      <c r="P196" s="142" t="inlineStr">
        <is>
          <t>{"cup": 151, "handful": 80}</t>
        </is>
      </c>
      <c r="Q196" s="142" t="inlineStr">
        <is>
          <t>Generic reference – verify</t>
        </is>
      </c>
      <c r="R196" s="142" t="inlineStr"/>
      <c r="S196" s="142" t="inlineStr"/>
      <c r="T196" s="142" t="b">
        <v>0</v>
      </c>
      <c r="U196" s="142" t="inlineStr">
        <is>
          <t>Generic reference estimate; verify against the product label or a confirmed food-composition record.</t>
        </is>
      </c>
      <c r="V196" s="171" t="n">
        <v>46223.89583333334</v>
      </c>
    </row>
    <row r="197">
      <c r="A197" s="142" t="inlineStr">
        <is>
          <t>ING196</t>
        </is>
      </c>
      <c r="B197" s="142" t="inlineStr">
        <is>
          <t>Raisins</t>
        </is>
      </c>
      <c r="C197" s="142" t="inlineStr"/>
      <c r="D197" s="142" t="inlineStr">
        <is>
          <t>dried</t>
        </is>
      </c>
      <c r="E197" s="142" t="inlineStr">
        <is>
          <t>100 g</t>
        </is>
      </c>
      <c r="F197" s="170" t="n">
        <v>100</v>
      </c>
      <c r="G197" s="170" t="inlineStr">
        <is>
          <t>g</t>
        </is>
      </c>
      <c r="H197" s="170" t="inlineStr"/>
      <c r="I197" s="170" t="n">
        <v>299</v>
      </c>
      <c r="J197" s="170" t="n">
        <v>3.1</v>
      </c>
      <c r="K197" s="170" t="n">
        <v>79</v>
      </c>
      <c r="L197" s="170" t="n">
        <v>0.5</v>
      </c>
      <c r="M197" s="170" t="n">
        <v>3.7</v>
      </c>
      <c r="N197" s="170" t="n">
        <v>11</v>
      </c>
      <c r="O197" s="142" t="inlineStr">
        <is>
          <t>["raisin", "sultanas", "dried grapes"]</t>
        </is>
      </c>
      <c r="P197" s="142" t="inlineStr">
        <is>
          <t>{"cup": 145, "tbsp": 9}</t>
        </is>
      </c>
      <c r="Q197" s="142" t="inlineStr">
        <is>
          <t>Generic reference – verify</t>
        </is>
      </c>
      <c r="R197" s="142" t="inlineStr"/>
      <c r="S197" s="142" t="inlineStr"/>
      <c r="T197" s="142" t="b">
        <v>0</v>
      </c>
      <c r="U197" s="142" t="inlineStr">
        <is>
          <t>Generic reference estimate; verify against the product label or a confirmed food-composition record.</t>
        </is>
      </c>
      <c r="V197" s="171" t="n">
        <v>46223.89583333334</v>
      </c>
    </row>
    <row r="198">
      <c r="A198" s="142" t="inlineStr">
        <is>
          <t>ING197</t>
        </is>
      </c>
      <c r="B198" s="142" t="inlineStr">
        <is>
          <t>Dried cranberries, sweetened</t>
        </is>
      </c>
      <c r="C198" s="142" t="inlineStr"/>
      <c r="D198" s="142" t="inlineStr">
        <is>
          <t>dried</t>
        </is>
      </c>
      <c r="E198" s="142" t="inlineStr">
        <is>
          <t>100 g</t>
        </is>
      </c>
      <c r="F198" s="170" t="n">
        <v>100</v>
      </c>
      <c r="G198" s="170" t="inlineStr">
        <is>
          <t>g</t>
        </is>
      </c>
      <c r="H198" s="170" t="inlineStr"/>
      <c r="I198" s="170" t="n">
        <v>325</v>
      </c>
      <c r="J198" s="170" t="n">
        <v>0.1</v>
      </c>
      <c r="K198" s="170" t="n">
        <v>83</v>
      </c>
      <c r="L198" s="170" t="n">
        <v>1.1</v>
      </c>
      <c r="M198" s="170" t="n">
        <v>5.3</v>
      </c>
      <c r="N198" s="170" t="n">
        <v>3</v>
      </c>
      <c r="O198" s="142" t="inlineStr">
        <is>
          <t>["dried cranberries", "craisins"]</t>
        </is>
      </c>
      <c r="P198" s="142" t="inlineStr">
        <is>
          <t>{"cup": 160, "tbsp": 10}</t>
        </is>
      </c>
      <c r="Q198" s="142" t="inlineStr">
        <is>
          <t>Generic reference – verify</t>
        </is>
      </c>
      <c r="R198" s="142" t="inlineStr"/>
      <c r="S198" s="142" t="inlineStr"/>
      <c r="T198" s="142" t="b">
        <v>0</v>
      </c>
      <c r="U198" s="142" t="inlineStr">
        <is>
          <t>Generic reference estimate; verify against the product label or a confirmed food-composition record.</t>
        </is>
      </c>
      <c r="V198" s="171" t="n">
        <v>46223.89583333334</v>
      </c>
    </row>
    <row r="199">
      <c r="A199" s="142" t="inlineStr">
        <is>
          <t>ING198</t>
        </is>
      </c>
      <c r="B199" s="142" t="inlineStr">
        <is>
          <t>Molasses</t>
        </is>
      </c>
      <c r="C199" s="142" t="inlineStr"/>
      <c r="D199" s="142" t="inlineStr">
        <is>
          <t>liquid</t>
        </is>
      </c>
      <c r="E199" s="142" t="inlineStr">
        <is>
          <t>100 g</t>
        </is>
      </c>
      <c r="F199" s="170" t="n">
        <v>100</v>
      </c>
      <c r="G199" s="170" t="inlineStr">
        <is>
          <t>g</t>
        </is>
      </c>
      <c r="H199" s="170" t="n">
        <v>1.4</v>
      </c>
      <c r="I199" s="170" t="n">
        <v>290</v>
      </c>
      <c r="J199" s="170" t="n">
        <v>0</v>
      </c>
      <c r="K199" s="170" t="n">
        <v>75</v>
      </c>
      <c r="L199" s="170" t="n">
        <v>0.1</v>
      </c>
      <c r="M199" s="170" t="n">
        <v>0</v>
      </c>
      <c r="N199" s="170" t="n">
        <v>37</v>
      </c>
      <c r="O199" s="142" t="inlineStr">
        <is>
          <t>["blackstrap molasses", "treacle", "molasses"]</t>
        </is>
      </c>
      <c r="P199" s="142" t="inlineStr">
        <is>
          <t>{"tbsp": 20, "tsp": 6.7, "cup": 320}</t>
        </is>
      </c>
      <c r="Q199" s="142" t="inlineStr">
        <is>
          <t>Generic reference – verify</t>
        </is>
      </c>
      <c r="R199" s="142" t="inlineStr"/>
      <c r="S199" s="142" t="inlineStr"/>
      <c r="T199" s="142" t="b">
        <v>0</v>
      </c>
      <c r="U199" s="142" t="inlineStr">
        <is>
          <t>Generic reference estimate; verify against the product label or a confirmed food-composition record.</t>
        </is>
      </c>
      <c r="V199" s="171" t="n">
        <v>46223.89583333334</v>
      </c>
    </row>
    <row r="200">
      <c r="A200" s="142" t="inlineStr">
        <is>
          <t>ING199</t>
        </is>
      </c>
      <c r="B200" s="142" t="inlineStr">
        <is>
          <t>Baking powder</t>
        </is>
      </c>
      <c r="C200" s="142" t="inlineStr"/>
      <c r="D200" s="142" t="inlineStr">
        <is>
          <t>dry</t>
        </is>
      </c>
      <c r="E200" s="142" t="inlineStr">
        <is>
          <t>100 g</t>
        </is>
      </c>
      <c r="F200" s="170" t="n">
        <v>100</v>
      </c>
      <c r="G200" s="170" t="inlineStr">
        <is>
          <t>g</t>
        </is>
      </c>
      <c r="H200" s="170" t="inlineStr"/>
      <c r="I200" s="170" t="n">
        <v>53</v>
      </c>
      <c r="J200" s="170" t="n">
        <v>0</v>
      </c>
      <c r="K200" s="170" t="n">
        <v>28</v>
      </c>
      <c r="L200" s="170" t="n">
        <v>0</v>
      </c>
      <c r="M200" s="170" t="n">
        <v>0</v>
      </c>
      <c r="N200" s="170" t="n">
        <v>10600</v>
      </c>
      <c r="O200" s="142" t="inlineStr">
        <is>
          <t>["baking powder", "raising powder"]</t>
        </is>
      </c>
      <c r="P200" s="142" t="inlineStr">
        <is>
          <t>{"tsp": 4, "tbsp": 12, "packet": 16}</t>
        </is>
      </c>
      <c r="Q200" s="142" t="inlineStr">
        <is>
          <t>Generic reference – verify</t>
        </is>
      </c>
      <c r="R200" s="142" t="inlineStr"/>
      <c r="S200" s="142" t="inlineStr"/>
      <c r="T200" s="142" t="b">
        <v>0</v>
      </c>
      <c r="U200" s="142" t="inlineStr">
        <is>
          <t>Generic reference estimate; verify against the product label or a confirmed food-composition record.</t>
        </is>
      </c>
      <c r="V200" s="171" t="n">
        <v>46223.89583333334</v>
      </c>
    </row>
    <row r="201">
      <c r="A201" s="142" t="inlineStr">
        <is>
          <t>ING200</t>
        </is>
      </c>
      <c r="B201" s="142" t="inlineStr">
        <is>
          <t>Coconut yoghurt, unsweetened</t>
        </is>
      </c>
      <c r="C201" s="142" t="inlineStr"/>
      <c r="D201" s="142" t="inlineStr">
        <is>
          <t>packaged</t>
        </is>
      </c>
      <c r="E201" s="142" t="inlineStr">
        <is>
          <t>100 g</t>
        </is>
      </c>
      <c r="F201" s="170" t="n">
        <v>100</v>
      </c>
      <c r="G201" s="170" t="inlineStr">
        <is>
          <t>g</t>
        </is>
      </c>
      <c r="H201" s="170" t="inlineStr"/>
      <c r="I201" s="170" t="n">
        <v>85</v>
      </c>
      <c r="J201" s="170" t="n">
        <v>1.5</v>
      </c>
      <c r="K201" s="170" t="n">
        <v>5</v>
      </c>
      <c r="L201" s="170" t="n">
        <v>6.5</v>
      </c>
      <c r="M201" s="170" t="n">
        <v>1</v>
      </c>
      <c r="N201" s="170" t="n">
        <v>35</v>
      </c>
      <c r="O201" s="142" t="inlineStr">
        <is>
          <t>["coconut yogurt", "coconut yoghurt", "unsweetened coconut yogurt"]</t>
        </is>
      </c>
      <c r="P201" s="142" t="inlineStr">
        <is>
          <t>{"cup": 245, "tbsp": 15, "tsp": 5}</t>
        </is>
      </c>
      <c r="Q201" s="142" t="inlineStr">
        <is>
          <t>Generic reference – verify</t>
        </is>
      </c>
      <c r="R201" s="142" t="inlineStr"/>
      <c r="S201" s="142" t="inlineStr"/>
      <c r="T201" s="142" t="b">
        <v>0</v>
      </c>
      <c r="U201" s="142" t="inlineStr">
        <is>
          <t>Generic reference estimate; verify against the product label or a confirmed food-composition record.</t>
        </is>
      </c>
      <c r="V201" s="171" t="n">
        <v>46223.89583333334</v>
      </c>
    </row>
    <row r="202">
      <c r="A202" s="142" t="inlineStr">
        <is>
          <t>ING201</t>
        </is>
      </c>
      <c r="B202" s="142" t="inlineStr">
        <is>
          <t>Lime zest</t>
        </is>
      </c>
      <c r="C202" s="142" t="inlineStr"/>
      <c r="D202" s="142" t="inlineStr">
        <is>
          <t>raw</t>
        </is>
      </c>
      <c r="E202" s="142" t="inlineStr">
        <is>
          <t>100 g</t>
        </is>
      </c>
      <c r="F202" s="170" t="n">
        <v>100</v>
      </c>
      <c r="G202" s="170" t="inlineStr">
        <is>
          <t>g</t>
        </is>
      </c>
      <c r="H202" s="170" t="inlineStr"/>
      <c r="I202" s="170" t="n">
        <v>47</v>
      </c>
      <c r="J202" s="170" t="n">
        <v>1.5</v>
      </c>
      <c r="K202" s="170" t="n">
        <v>16</v>
      </c>
      <c r="L202" s="170" t="n">
        <v>0.3</v>
      </c>
      <c r="M202" s="170" t="n">
        <v>10.6</v>
      </c>
      <c r="N202" s="170" t="n">
        <v>6</v>
      </c>
      <c r="O202" s="142" t="inlineStr">
        <is>
          <t>["lime peel", "zest of lime", "lime rind"]</t>
        </is>
      </c>
      <c r="P202" s="142" t="inlineStr">
        <is>
          <t>{"tsp": 2, "tbsp": 6, "lime": 6, "each": 6}</t>
        </is>
      </c>
      <c r="Q202" s="142" t="inlineStr">
        <is>
          <t>Generic reference – verify</t>
        </is>
      </c>
      <c r="R202" s="142" t="inlineStr"/>
      <c r="S202" s="142" t="inlineStr"/>
      <c r="T202" s="142" t="b">
        <v>0</v>
      </c>
      <c r="U202" s="142" t="inlineStr">
        <is>
          <t>Generic reference estimate; verify against the product label or a confirmed food-composition record.</t>
        </is>
      </c>
      <c r="V202" s="171" t="n">
        <v>46223.86805555555</v>
      </c>
    </row>
    <row r="203">
      <c r="A203" s="142" t="inlineStr">
        <is>
          <t>ING202</t>
        </is>
      </c>
      <c r="B203" s="142" t="inlineStr">
        <is>
          <t>Cinnamon, ground</t>
        </is>
      </c>
      <c r="C203" s="142" t="inlineStr"/>
      <c r="D203" s="142" t="inlineStr">
        <is>
          <t>dry</t>
        </is>
      </c>
      <c r="E203" s="142" t="inlineStr">
        <is>
          <t>100 g</t>
        </is>
      </c>
      <c r="F203" s="170" t="n">
        <v>100</v>
      </c>
      <c r="G203" s="170" t="inlineStr">
        <is>
          <t>g</t>
        </is>
      </c>
      <c r="H203" s="170" t="inlineStr"/>
      <c r="I203" s="170" t="n">
        <v>247</v>
      </c>
      <c r="J203" s="170" t="n">
        <v>4</v>
      </c>
      <c r="K203" s="170" t="n">
        <v>81</v>
      </c>
      <c r="L203" s="170" t="n">
        <v>1.2</v>
      </c>
      <c r="M203" s="170" t="n">
        <v>53</v>
      </c>
      <c r="N203" s="170" t="n">
        <v>10</v>
      </c>
      <c r="O203" s="142" t="inlineStr">
        <is>
          <t>["cinnamon", "ground cinnamon"]</t>
        </is>
      </c>
      <c r="P203" s="142" t="inlineStr">
        <is>
          <t>{"tsp": 2.6, "tbsp": 7.8}</t>
        </is>
      </c>
      <c r="Q203" s="142" t="inlineStr">
        <is>
          <t>Generic reference – verify</t>
        </is>
      </c>
      <c r="R203" s="142" t="inlineStr"/>
      <c r="S203" s="142" t="inlineStr"/>
      <c r="T203" s="142" t="b">
        <v>0</v>
      </c>
      <c r="U203" s="142" t="inlineStr">
        <is>
          <t>Generic reference estimate; verify against the product label or a confirmed food-composition record.</t>
        </is>
      </c>
      <c r="V203" s="171" t="n">
        <v>46223.9375</v>
      </c>
    </row>
    <row r="204">
      <c r="A204" s="142" t="inlineStr">
        <is>
          <t>ING203</t>
        </is>
      </c>
      <c r="B204" s="142" t="inlineStr">
        <is>
          <t>Ginger, ground</t>
        </is>
      </c>
      <c r="C204" s="142" t="inlineStr"/>
      <c r="D204" s="142" t="inlineStr">
        <is>
          <t>dry</t>
        </is>
      </c>
      <c r="E204" s="142" t="inlineStr">
        <is>
          <t>100 g</t>
        </is>
      </c>
      <c r="F204" s="170" t="n">
        <v>100</v>
      </c>
      <c r="G204" s="170" t="inlineStr">
        <is>
          <t>g</t>
        </is>
      </c>
      <c r="H204" s="170" t="inlineStr"/>
      <c r="I204" s="170" t="n">
        <v>335</v>
      </c>
      <c r="J204" s="170" t="n">
        <v>9</v>
      </c>
      <c r="K204" s="170" t="n">
        <v>72</v>
      </c>
      <c r="L204" s="170" t="n">
        <v>4.2</v>
      </c>
      <c r="M204" s="170" t="n">
        <v>14</v>
      </c>
      <c r="N204" s="170" t="n">
        <v>27</v>
      </c>
      <c r="O204" s="142" t="inlineStr">
        <is>
          <t>["ground ginger", "ginger powder"]</t>
        </is>
      </c>
      <c r="P204" s="142" t="inlineStr">
        <is>
          <t>{"tsp": 1.8, "tbsp": 5.4}</t>
        </is>
      </c>
      <c r="Q204" s="142" t="inlineStr">
        <is>
          <t>Generic reference – verify</t>
        </is>
      </c>
      <c r="R204" s="142" t="inlineStr"/>
      <c r="S204" s="142" t="inlineStr"/>
      <c r="T204" s="142" t="b">
        <v>0</v>
      </c>
      <c r="U204" s="142" t="inlineStr">
        <is>
          <t>Generic reference estimate; verify against the product label or a confirmed food-composition record.</t>
        </is>
      </c>
      <c r="V204" s="171" t="n">
        <v>46223.9375</v>
      </c>
    </row>
    <row r="205">
      <c r="A205" s="142" t="inlineStr">
        <is>
          <t>ING204</t>
        </is>
      </c>
      <c r="B205" s="142" t="inlineStr">
        <is>
          <t>Chilli flakes</t>
        </is>
      </c>
      <c r="C205" s="142" t="inlineStr"/>
      <c r="D205" s="142" t="inlineStr">
        <is>
          <t>dry</t>
        </is>
      </c>
      <c r="E205" s="142" t="inlineStr">
        <is>
          <t>100 g</t>
        </is>
      </c>
      <c r="F205" s="170" t="n">
        <v>100</v>
      </c>
      <c r="G205" s="170" t="inlineStr">
        <is>
          <t>g</t>
        </is>
      </c>
      <c r="H205" s="170" t="inlineStr"/>
      <c r="I205" s="170" t="n">
        <v>318</v>
      </c>
      <c r="J205" s="170" t="n">
        <v>12</v>
      </c>
      <c r="K205" s="170" t="n">
        <v>57</v>
      </c>
      <c r="L205" s="170" t="n">
        <v>17</v>
      </c>
      <c r="M205" s="170" t="n">
        <v>27</v>
      </c>
      <c r="N205" s="170" t="n">
        <v>30</v>
      </c>
      <c r="O205" s="142" t="inlineStr">
        <is>
          <t>["chili flakes", "red pepper flakes", "crushed chilli", "chilli flake"]</t>
        </is>
      </c>
      <c r="P205" s="142" t="inlineStr">
        <is>
          <t>{"tsp": 1.8, "tbsp": 5.4}</t>
        </is>
      </c>
      <c r="Q205" s="142" t="inlineStr">
        <is>
          <t>Generic reference – verify</t>
        </is>
      </c>
      <c r="R205" s="142" t="inlineStr"/>
      <c r="S205" s="142" t="inlineStr"/>
      <c r="T205" s="142" t="b">
        <v>0</v>
      </c>
      <c r="U205" s="142" t="inlineStr">
        <is>
          <t>Generic reference estimate; verify against the product label or a confirmed food-composition record.</t>
        </is>
      </c>
      <c r="V205" s="171" t="n">
        <v>46223.9375</v>
      </c>
    </row>
    <row r="206">
      <c r="A206" s="142" t="inlineStr">
        <is>
          <t>ING205</t>
        </is>
      </c>
      <c r="B206" s="142" t="inlineStr">
        <is>
          <t>Thyme, fresh</t>
        </is>
      </c>
      <c r="C206" s="142" t="inlineStr"/>
      <c r="D206" s="142" t="inlineStr">
        <is>
          <t>raw</t>
        </is>
      </c>
      <c r="E206" s="142" t="inlineStr">
        <is>
          <t>100 g</t>
        </is>
      </c>
      <c r="F206" s="170" t="n">
        <v>100</v>
      </c>
      <c r="G206" s="170" t="inlineStr">
        <is>
          <t>g</t>
        </is>
      </c>
      <c r="H206" s="170" t="inlineStr"/>
      <c r="I206" s="170" t="n">
        <v>101</v>
      </c>
      <c r="J206" s="170" t="n">
        <v>5.6</v>
      </c>
      <c r="K206" s="170" t="n">
        <v>24</v>
      </c>
      <c r="L206" s="170" t="n">
        <v>1.7</v>
      </c>
      <c r="M206" s="170" t="n">
        <v>14</v>
      </c>
      <c r="N206" s="170" t="n">
        <v>9</v>
      </c>
      <c r="O206" s="142" t="inlineStr">
        <is>
          <t>["thyme", "fresh thyme", "thyme leaves"]</t>
        </is>
      </c>
      <c r="P206" s="142" t="inlineStr">
        <is>
          <t>{"tsp": 1, "tbsp": 3, "sprig": 0.8}</t>
        </is>
      </c>
      <c r="Q206" s="142" t="inlineStr">
        <is>
          <t>Generic reference – verify</t>
        </is>
      </c>
      <c r="R206" s="142" t="inlineStr"/>
      <c r="S206" s="142" t="inlineStr"/>
      <c r="T206" s="142" t="b">
        <v>0</v>
      </c>
      <c r="U206" s="142" t="inlineStr">
        <is>
          <t>Generic reference estimate; verify against the product label or a confirmed food-composition record.</t>
        </is>
      </c>
      <c r="V206" s="171" t="n">
        <v>46223.9375</v>
      </c>
    </row>
    <row r="207">
      <c r="A207" s="142" t="inlineStr">
        <is>
          <t>ING206</t>
        </is>
      </c>
      <c r="B207" s="142" t="inlineStr">
        <is>
          <t>Bay leaf, dried</t>
        </is>
      </c>
      <c r="C207" s="142" t="inlineStr"/>
      <c r="D207" s="142" t="inlineStr">
        <is>
          <t>dry</t>
        </is>
      </c>
      <c r="E207" s="142" t="inlineStr">
        <is>
          <t>100 g</t>
        </is>
      </c>
      <c r="F207" s="170" t="n">
        <v>100</v>
      </c>
      <c r="G207" s="170" t="inlineStr">
        <is>
          <t>g</t>
        </is>
      </c>
      <c r="H207" s="170" t="inlineStr"/>
      <c r="I207" s="170" t="n">
        <v>313</v>
      </c>
      <c r="J207" s="170" t="n">
        <v>7.6</v>
      </c>
      <c r="K207" s="170" t="n">
        <v>75</v>
      </c>
      <c r="L207" s="170" t="n">
        <v>8.4</v>
      </c>
      <c r="M207" s="170" t="n">
        <v>26</v>
      </c>
      <c r="N207" s="170" t="n">
        <v>23</v>
      </c>
      <c r="O207" s="142" t="inlineStr">
        <is>
          <t>["bay leaf", "bay leaves"]</t>
        </is>
      </c>
      <c r="P207" s="142" t="inlineStr">
        <is>
          <t>{"each": 0.6, "tsp": 0.6}</t>
        </is>
      </c>
      <c r="Q207" s="142" t="inlineStr">
        <is>
          <t>Generic reference – verify</t>
        </is>
      </c>
      <c r="R207" s="142" t="inlineStr"/>
      <c r="S207" s="142" t="inlineStr"/>
      <c r="T207" s="142" t="b">
        <v>0</v>
      </c>
      <c r="U207" s="142" t="inlineStr">
        <is>
          <t>Generic reference estimate; verify against the product label or a confirmed food-composition record.</t>
        </is>
      </c>
      <c r="V207" s="171" t="n">
        <v>46223.9375</v>
      </c>
    </row>
    <row r="208">
      <c r="A208" s="142" t="inlineStr">
        <is>
          <t>ING207</t>
        </is>
      </c>
      <c r="B208" s="142" t="inlineStr">
        <is>
          <t>Dijon mustard</t>
        </is>
      </c>
      <c r="C208" s="142" t="inlineStr"/>
      <c r="D208" s="142" t="inlineStr">
        <is>
          <t>packaged</t>
        </is>
      </c>
      <c r="E208" s="142" t="inlineStr">
        <is>
          <t>100 g</t>
        </is>
      </c>
      <c r="F208" s="170" t="n">
        <v>100</v>
      </c>
      <c r="G208" s="170" t="inlineStr">
        <is>
          <t>g</t>
        </is>
      </c>
      <c r="H208" s="170" t="inlineStr"/>
      <c r="I208" s="170" t="n">
        <v>66</v>
      </c>
      <c r="J208" s="170" t="n">
        <v>4.4</v>
      </c>
      <c r="K208" s="170" t="n">
        <v>5.8</v>
      </c>
      <c r="L208" s="170" t="n">
        <v>4</v>
      </c>
      <c r="M208" s="170" t="n">
        <v>3.3</v>
      </c>
      <c r="N208" s="170" t="n">
        <v>1200</v>
      </c>
      <c r="O208" s="142" t="inlineStr">
        <is>
          <t>["dijon mustard", "French mustard"]</t>
        </is>
      </c>
      <c r="P208" s="142" t="inlineStr">
        <is>
          <t>{"tbsp": 15, "tsp": 5}</t>
        </is>
      </c>
      <c r="Q208" s="142" t="inlineStr">
        <is>
          <t>Generic reference – verify</t>
        </is>
      </c>
      <c r="R208" s="142" t="inlineStr"/>
      <c r="S208" s="142" t="inlineStr"/>
      <c r="T208" s="142" t="b">
        <v>0</v>
      </c>
      <c r="U208" s="142" t="inlineStr">
        <is>
          <t>Generic reference estimate; verify against the product label or a confirmed food-composition record.</t>
        </is>
      </c>
      <c r="V208" s="171" t="n">
        <v>46223.9375</v>
      </c>
    </row>
    <row r="209">
      <c r="A209" s="142" t="inlineStr">
        <is>
          <t>ING208</t>
        </is>
      </c>
      <c r="B209" s="142" t="inlineStr">
        <is>
          <t>Vodka</t>
        </is>
      </c>
      <c r="C209" s="142" t="inlineStr"/>
      <c r="D209" s="142" t="inlineStr">
        <is>
          <t>liquid</t>
        </is>
      </c>
      <c r="E209" s="142" t="inlineStr">
        <is>
          <t>100 g</t>
        </is>
      </c>
      <c r="F209" s="170" t="n">
        <v>100</v>
      </c>
      <c r="G209" s="170" t="inlineStr">
        <is>
          <t>g</t>
        </is>
      </c>
      <c r="H209" s="170" t="n">
        <v>0.95</v>
      </c>
      <c r="I209" s="170" t="n">
        <v>231</v>
      </c>
      <c r="J209" s="170" t="n">
        <v>0</v>
      </c>
      <c r="K209" s="170" t="n">
        <v>0</v>
      </c>
      <c r="L209" s="170" t="n">
        <v>0</v>
      </c>
      <c r="M209" s="170" t="n">
        <v>0</v>
      </c>
      <c r="N209" s="170" t="n">
        <v>1</v>
      </c>
      <c r="O209" s="142" t="inlineStr">
        <is>
          <t>["vodka"]</t>
        </is>
      </c>
      <c r="P209" s="142" t="inlineStr">
        <is>
          <t>{"tbsp": 15, "tsp": 5, "cup": 240}</t>
        </is>
      </c>
      <c r="Q209" s="142" t="inlineStr">
        <is>
          <t>Generic reference – verify</t>
        </is>
      </c>
      <c r="R209" s="142" t="inlineStr"/>
      <c r="S209" s="142" t="inlineStr"/>
      <c r="T209" s="142" t="b">
        <v>0</v>
      </c>
      <c r="U209" s="142" t="inlineStr">
        <is>
          <t>Alcohol calories are included; verify the product strength and label.</t>
        </is>
      </c>
      <c r="V209" s="171" t="n">
        <v>46223.9375</v>
      </c>
    </row>
    <row r="210">
      <c r="A210" s="142" t="inlineStr">
        <is>
          <t>ING209</t>
        </is>
      </c>
      <c r="B210" s="142" t="inlineStr">
        <is>
          <t>Coriander seeds, ground</t>
        </is>
      </c>
      <c r="C210" s="142" t="inlineStr"/>
      <c r="D210" s="142" t="inlineStr">
        <is>
          <t>dry</t>
        </is>
      </c>
      <c r="E210" s="142" t="inlineStr">
        <is>
          <t>100 g</t>
        </is>
      </c>
      <c r="F210" s="170" t="n">
        <v>100</v>
      </c>
      <c r="G210" s="170" t="inlineStr">
        <is>
          <t>g</t>
        </is>
      </c>
      <c r="H210" s="170" t="inlineStr"/>
      <c r="I210" s="170" t="n">
        <v>298</v>
      </c>
      <c r="J210" s="170" t="n">
        <v>12</v>
      </c>
      <c r="K210" s="170" t="n">
        <v>55</v>
      </c>
      <c r="L210" s="170" t="n">
        <v>18</v>
      </c>
      <c r="M210" s="170" t="n">
        <v>42</v>
      </c>
      <c r="N210" s="170" t="n">
        <v>35</v>
      </c>
      <c r="O210" s="142" t="inlineStr">
        <is>
          <t>["ground coriander", "ground coriander seed", "coriander seed ground"]</t>
        </is>
      </c>
      <c r="P210" s="142" t="inlineStr">
        <is>
          <t>{"tsp": 1.8, "tbsp": 5.4}</t>
        </is>
      </c>
      <c r="Q210" s="142" t="inlineStr">
        <is>
          <t>Generic reference – verify</t>
        </is>
      </c>
      <c r="R210" s="142" t="inlineStr"/>
      <c r="S210" s="142" t="inlineStr"/>
      <c r="T210" s="142" t="b">
        <v>0</v>
      </c>
      <c r="U210" s="142" t="inlineStr">
        <is>
          <t>Generic reference estimate; verify against the product label or a confirmed food-composition record.</t>
        </is>
      </c>
      <c r="V210" s="171" t="n">
        <v>46223.9375</v>
      </c>
    </row>
    <row r="211">
      <c r="A211" s="142" t="inlineStr">
        <is>
          <t>ING210</t>
        </is>
      </c>
      <c r="B211" s="142" t="inlineStr">
        <is>
          <t>Coriander seeds, whole</t>
        </is>
      </c>
      <c r="C211" s="142" t="inlineStr"/>
      <c r="D211" s="142" t="inlineStr">
        <is>
          <t>dry</t>
        </is>
      </c>
      <c r="E211" s="142" t="inlineStr">
        <is>
          <t>100 g</t>
        </is>
      </c>
      <c r="F211" s="170" t="n">
        <v>100</v>
      </c>
      <c r="G211" s="170" t="inlineStr">
        <is>
          <t>g</t>
        </is>
      </c>
      <c r="H211" s="170" t="inlineStr"/>
      <c r="I211" s="170" t="n">
        <v>298</v>
      </c>
      <c r="J211" s="170" t="n">
        <v>12</v>
      </c>
      <c r="K211" s="170" t="n">
        <v>55</v>
      </c>
      <c r="L211" s="170" t="n">
        <v>18</v>
      </c>
      <c r="M211" s="170" t="n">
        <v>42</v>
      </c>
      <c r="N211" s="170" t="n">
        <v>35</v>
      </c>
      <c r="O211" s="142" t="inlineStr">
        <is>
          <t>["coriander seeds", "coriander seed"]</t>
        </is>
      </c>
      <c r="P211" s="142" t="inlineStr">
        <is>
          <t>{"tsp": 1.8, "tbsp": 5.4}</t>
        </is>
      </c>
      <c r="Q211" s="142" t="inlineStr">
        <is>
          <t>Generic reference – verify</t>
        </is>
      </c>
      <c r="R211" s="142" t="inlineStr"/>
      <c r="S211" s="142" t="inlineStr"/>
      <c r="T211" s="142" t="b">
        <v>0</v>
      </c>
      <c r="U211" s="142" t="inlineStr">
        <is>
          <t>Generic reference estimate; verify against the product label or a confirmed food-composition record.</t>
        </is>
      </c>
      <c r="V211" s="171" t="n">
        <v>46223.9375</v>
      </c>
    </row>
    <row r="212">
      <c r="A212" s="142" t="inlineStr">
        <is>
          <t>ING211</t>
        </is>
      </c>
      <c r="B212" s="142" t="inlineStr">
        <is>
          <t>Mustard seeds</t>
        </is>
      </c>
      <c r="C212" s="142" t="inlineStr"/>
      <c r="D212" s="142" t="inlineStr">
        <is>
          <t>dry</t>
        </is>
      </c>
      <c r="E212" s="142" t="inlineStr">
        <is>
          <t>100 g</t>
        </is>
      </c>
      <c r="F212" s="170" t="n">
        <v>100</v>
      </c>
      <c r="G212" s="170" t="inlineStr">
        <is>
          <t>g</t>
        </is>
      </c>
      <c r="H212" s="170" t="inlineStr"/>
      <c r="I212" s="170" t="n">
        <v>508</v>
      </c>
      <c r="J212" s="170" t="n">
        <v>26</v>
      </c>
      <c r="K212" s="170" t="n">
        <v>28</v>
      </c>
      <c r="L212" s="170" t="n">
        <v>36</v>
      </c>
      <c r="M212" s="170" t="n">
        <v>12</v>
      </c>
      <c r="N212" s="170" t="n">
        <v>13</v>
      </c>
      <c r="O212" s="142" t="inlineStr">
        <is>
          <t>["mustard seed", "mustard seeds"]</t>
        </is>
      </c>
      <c r="P212" s="142" t="inlineStr">
        <is>
          <t>{"tsp": 2, "tbsp": 6}</t>
        </is>
      </c>
      <c r="Q212" s="142" t="inlineStr">
        <is>
          <t>Generic reference – verify</t>
        </is>
      </c>
      <c r="R212" s="142" t="inlineStr"/>
      <c r="S212" s="142" t="inlineStr"/>
      <c r="T212" s="142" t="b">
        <v>0</v>
      </c>
      <c r="U212" s="142" t="inlineStr">
        <is>
          <t>Generic reference estimate; verify against the product label or a confirmed food-composition record.</t>
        </is>
      </c>
      <c r="V212" s="171" t="n">
        <v>46223.9375</v>
      </c>
    </row>
    <row r="213">
      <c r="A213" s="142" t="inlineStr">
        <is>
          <t>ING212</t>
        </is>
      </c>
      <c r="B213" s="142" t="inlineStr">
        <is>
          <t>Cinnamon stick</t>
        </is>
      </c>
      <c r="C213" s="142" t="inlineStr"/>
      <c r="D213" s="142" t="inlineStr">
        <is>
          <t>dry</t>
        </is>
      </c>
      <c r="E213" s="142" t="inlineStr">
        <is>
          <t>100 g</t>
        </is>
      </c>
      <c r="F213" s="170" t="n">
        <v>100</v>
      </c>
      <c r="G213" s="170" t="inlineStr">
        <is>
          <t>g</t>
        </is>
      </c>
      <c r="H213" s="170" t="inlineStr"/>
      <c r="I213" s="170" t="n">
        <v>247</v>
      </c>
      <c r="J213" s="170" t="n">
        <v>4</v>
      </c>
      <c r="K213" s="170" t="n">
        <v>81</v>
      </c>
      <c r="L213" s="170" t="n">
        <v>1.2</v>
      </c>
      <c r="M213" s="170" t="n">
        <v>53</v>
      </c>
      <c r="N213" s="170" t="n">
        <v>10</v>
      </c>
      <c r="O213" s="142" t="inlineStr">
        <is>
          <t>["cinnamon sticks", "cinnamon quill"]</t>
        </is>
      </c>
      <c r="P213" s="142" t="inlineStr">
        <is>
          <t>{"each": 2.6, "stick": 2.6}</t>
        </is>
      </c>
      <c r="Q213" s="142" t="inlineStr">
        <is>
          <t>Generic reference – verify</t>
        </is>
      </c>
      <c r="R213" s="142" t="inlineStr"/>
      <c r="S213" s="142" t="inlineStr"/>
      <c r="T213" s="142" t="b">
        <v>0</v>
      </c>
      <c r="U213" s="142" t="inlineStr">
        <is>
          <t>Generic reference estimate; verify against the product label or a confirmed food-composition record.</t>
        </is>
      </c>
      <c r="V213" s="171" t="n">
        <v>46223.9375</v>
      </c>
    </row>
    <row r="214">
      <c r="A214" s="142" t="inlineStr">
        <is>
          <t>ING213</t>
        </is>
      </c>
      <c r="B214" s="142" t="inlineStr">
        <is>
          <t>Cardamom pods</t>
        </is>
      </c>
      <c r="C214" s="142" t="inlineStr"/>
      <c r="D214" s="142" t="inlineStr">
        <is>
          <t>dry</t>
        </is>
      </c>
      <c r="E214" s="142" t="inlineStr">
        <is>
          <t>100 g</t>
        </is>
      </c>
      <c r="F214" s="170" t="n">
        <v>100</v>
      </c>
      <c r="G214" s="170" t="inlineStr">
        <is>
          <t>g</t>
        </is>
      </c>
      <c r="H214" s="170" t="inlineStr"/>
      <c r="I214" s="170" t="n">
        <v>311</v>
      </c>
      <c r="J214" s="170" t="n">
        <v>11</v>
      </c>
      <c r="K214" s="170" t="n">
        <v>68</v>
      </c>
      <c r="L214" s="170" t="n">
        <v>7</v>
      </c>
      <c r="M214" s="170" t="n">
        <v>28</v>
      </c>
      <c r="N214" s="170" t="n">
        <v>18</v>
      </c>
      <c r="O214" s="142" t="inlineStr">
        <is>
          <t>["cardamom pod", "green cardamom pods"]</t>
        </is>
      </c>
      <c r="P214" s="142" t="inlineStr">
        <is>
          <t>{"each": 0.2, "tsp": 2}</t>
        </is>
      </c>
      <c r="Q214" s="142" t="inlineStr">
        <is>
          <t>Generic reference – verify</t>
        </is>
      </c>
      <c r="R214" s="142" t="inlineStr"/>
      <c r="S214" s="142" t="inlineStr"/>
      <c r="T214" s="142" t="b">
        <v>0</v>
      </c>
      <c r="U214" s="142" t="inlineStr">
        <is>
          <t>Generic reference estimate; verify against the product label or a confirmed food-composition record.</t>
        </is>
      </c>
      <c r="V214" s="171" t="n">
        <v>46223.9375</v>
      </c>
    </row>
    <row r="215">
      <c r="A215" s="142" t="inlineStr">
        <is>
          <t>ING214</t>
        </is>
      </c>
      <c r="B215" s="142" t="inlineStr">
        <is>
          <t>Rosemary, fresh</t>
        </is>
      </c>
      <c r="C215" s="142" t="inlineStr"/>
      <c r="D215" s="142" t="inlineStr">
        <is>
          <t>raw</t>
        </is>
      </c>
      <c r="E215" s="142" t="inlineStr">
        <is>
          <t>100 g</t>
        </is>
      </c>
      <c r="F215" s="170" t="n">
        <v>100</v>
      </c>
      <c r="G215" s="170" t="inlineStr">
        <is>
          <t>g</t>
        </is>
      </c>
      <c r="H215" s="170" t="inlineStr"/>
      <c r="I215" s="170" t="n">
        <v>131</v>
      </c>
      <c r="J215" s="170" t="n">
        <v>3.3</v>
      </c>
      <c r="K215" s="170" t="n">
        <v>21</v>
      </c>
      <c r="L215" s="170" t="n">
        <v>5.9</v>
      </c>
      <c r="M215" s="170" t="n">
        <v>14</v>
      </c>
      <c r="N215" s="170" t="n">
        <v>26</v>
      </c>
      <c r="O215" s="142" t="inlineStr">
        <is>
          <t>["rosemary", "fresh rosemary"]</t>
        </is>
      </c>
      <c r="P215" s="142" t="inlineStr">
        <is>
          <t>{"sprig": 1, "tbsp": 3}</t>
        </is>
      </c>
      <c r="Q215" s="142" t="inlineStr">
        <is>
          <t>Generic reference – verify</t>
        </is>
      </c>
      <c r="R215" s="142" t="inlineStr"/>
      <c r="S215" s="142" t="inlineStr"/>
      <c r="T215" s="142" t="b">
        <v>0</v>
      </c>
      <c r="U215" s="142" t="inlineStr">
        <is>
          <t>Generic reference estimate; verify against the product label or a confirmed food-composition record.</t>
        </is>
      </c>
      <c r="V215" s="171" t="n">
        <v>46223.9375</v>
      </c>
    </row>
    <row r="216">
      <c r="A216" s="142" t="inlineStr">
        <is>
          <t>ING215</t>
        </is>
      </c>
      <c r="B216" s="142" t="inlineStr">
        <is>
          <t>Sage, fresh</t>
        </is>
      </c>
      <c r="C216" s="142" t="inlineStr"/>
      <c r="D216" s="142" t="inlineStr">
        <is>
          <t>raw</t>
        </is>
      </c>
      <c r="E216" s="142" t="inlineStr">
        <is>
          <t>100 g</t>
        </is>
      </c>
      <c r="F216" s="170" t="n">
        <v>100</v>
      </c>
      <c r="G216" s="170" t="inlineStr">
        <is>
          <t>g</t>
        </is>
      </c>
      <c r="H216" s="170" t="inlineStr"/>
      <c r="I216" s="170" t="n">
        <v>315</v>
      </c>
      <c r="J216" s="170" t="n">
        <v>11</v>
      </c>
      <c r="K216" s="170" t="n">
        <v>61</v>
      </c>
      <c r="L216" s="170" t="n">
        <v>13</v>
      </c>
      <c r="M216" s="170" t="n">
        <v>40</v>
      </c>
      <c r="N216" s="170" t="n">
        <v>11</v>
      </c>
      <c r="O216" s="142" t="inlineStr">
        <is>
          <t>["sage", "sage leaves", "fresh sage"]</t>
        </is>
      </c>
      <c r="P216" s="142" t="inlineStr">
        <is>
          <t>{"leaf": 0.7, "tbsp": 2}</t>
        </is>
      </c>
      <c r="Q216" s="142" t="inlineStr">
        <is>
          <t>Generic reference – verify</t>
        </is>
      </c>
      <c r="R216" s="142" t="inlineStr"/>
      <c r="S216" s="142" t="inlineStr"/>
      <c r="T216" s="142" t="b">
        <v>0</v>
      </c>
      <c r="U216" s="142" t="inlineStr">
        <is>
          <t>Generic reference estimate; verify against the product label or a confirmed food-composition record.</t>
        </is>
      </c>
      <c r="V216" s="171" t="n">
        <v>46223.9375</v>
      </c>
    </row>
    <row r="217">
      <c r="A217" s="142" t="inlineStr">
        <is>
          <t>ING216</t>
        </is>
      </c>
      <c r="B217" s="142" t="inlineStr">
        <is>
          <t>Black peppercorns</t>
        </is>
      </c>
      <c r="C217" s="142" t="inlineStr"/>
      <c r="D217" s="142" t="inlineStr">
        <is>
          <t>dry</t>
        </is>
      </c>
      <c r="E217" s="142" t="inlineStr">
        <is>
          <t>100 g</t>
        </is>
      </c>
      <c r="F217" s="170" t="n">
        <v>100</v>
      </c>
      <c r="G217" s="170" t="inlineStr">
        <is>
          <t>g</t>
        </is>
      </c>
      <c r="H217" s="170" t="inlineStr"/>
      <c r="I217" s="170" t="n">
        <v>251</v>
      </c>
      <c r="J217" s="170" t="n">
        <v>10</v>
      </c>
      <c r="K217" s="170" t="n">
        <v>64</v>
      </c>
      <c r="L217" s="170" t="n">
        <v>3.3</v>
      </c>
      <c r="M217" s="170" t="n">
        <v>25</v>
      </c>
      <c r="N217" s="170" t="n">
        <v>20</v>
      </c>
      <c r="O217" s="142" t="inlineStr">
        <is>
          <t>["peppercorn", "peppercorns", "black peppercorns"]</t>
        </is>
      </c>
      <c r="P217" s="142" t="inlineStr">
        <is>
          <t>{"tsp": 2.3, "tbsp": 6.9}</t>
        </is>
      </c>
      <c r="Q217" s="142" t="inlineStr">
        <is>
          <t>Generic reference – verify</t>
        </is>
      </c>
      <c r="R217" s="142" t="inlineStr"/>
      <c r="S217" s="142" t="inlineStr"/>
      <c r="T217" s="142" t="b">
        <v>0</v>
      </c>
      <c r="U217" s="142" t="inlineStr">
        <is>
          <t>Generic reference estimate; verify against the product label or a confirmed food-composition record.</t>
        </is>
      </c>
      <c r="V217" s="171" t="n">
        <v>46223.9375</v>
      </c>
    </row>
    <row r="218">
      <c r="A218" s="142" t="inlineStr">
        <is>
          <t>ING217</t>
        </is>
      </c>
      <c r="B218" s="142" t="inlineStr">
        <is>
          <t>Star anise</t>
        </is>
      </c>
      <c r="C218" s="142" t="inlineStr"/>
      <c r="D218" s="142" t="inlineStr">
        <is>
          <t>dry</t>
        </is>
      </c>
      <c r="E218" s="142" t="inlineStr">
        <is>
          <t>100 g</t>
        </is>
      </c>
      <c r="F218" s="170" t="n">
        <v>100</v>
      </c>
      <c r="G218" s="170" t="inlineStr">
        <is>
          <t>g</t>
        </is>
      </c>
      <c r="H218" s="170" t="inlineStr"/>
      <c r="I218" s="170" t="n">
        <v>337</v>
      </c>
      <c r="J218" s="170" t="n">
        <v>18</v>
      </c>
      <c r="K218" s="170" t="n">
        <v>50</v>
      </c>
      <c r="L218" s="170" t="n">
        <v>16</v>
      </c>
      <c r="M218" s="170" t="n">
        <v>15</v>
      </c>
      <c r="N218" s="170" t="n">
        <v>16</v>
      </c>
      <c r="O218" s="142" t="inlineStr">
        <is>
          <t>["star anise", "star anise pod"]</t>
        </is>
      </c>
      <c r="P218" s="142" t="inlineStr">
        <is>
          <t>{"each": 1, "tsp": 2}</t>
        </is>
      </c>
      <c r="Q218" s="142" t="inlineStr">
        <is>
          <t>Generic reference – verify</t>
        </is>
      </c>
      <c r="R218" s="142" t="inlineStr"/>
      <c r="S218" s="142" t="inlineStr"/>
      <c r="T218" s="142" t="b">
        <v>0</v>
      </c>
      <c r="U218" s="142" t="inlineStr">
        <is>
          <t>Generic reference estimate; verify against the product label or a confirmed food-composition record.</t>
        </is>
      </c>
      <c r="V218" s="171" t="n">
        <v>46223.9375</v>
      </c>
    </row>
    <row r="219">
      <c r="A219" s="142" t="inlineStr">
        <is>
          <t>ING218</t>
        </is>
      </c>
      <c r="B219" s="142" t="inlineStr">
        <is>
          <t>Arrowroot starch</t>
        </is>
      </c>
      <c r="C219" s="142" t="inlineStr"/>
      <c r="D219" s="142" t="inlineStr">
        <is>
          <t>dry</t>
        </is>
      </c>
      <c r="E219" s="142" t="inlineStr">
        <is>
          <t>100 g</t>
        </is>
      </c>
      <c r="F219" s="170" t="n">
        <v>100</v>
      </c>
      <c r="G219" s="170" t="inlineStr">
        <is>
          <t>g</t>
        </is>
      </c>
      <c r="H219" s="170" t="inlineStr"/>
      <c r="I219" s="170" t="n">
        <v>357</v>
      </c>
      <c r="J219" s="170" t="n">
        <v>0.3</v>
      </c>
      <c r="K219" s="170" t="n">
        <v>88</v>
      </c>
      <c r="L219" s="170" t="n">
        <v>0.1</v>
      </c>
      <c r="M219" s="170" t="n">
        <v>3.4</v>
      </c>
      <c r="N219" s="170" t="n">
        <v>2</v>
      </c>
      <c r="O219" s="142" t="inlineStr">
        <is>
          <t>["arrowroot", "arrowroot powder", "arrowroot flour"]</t>
        </is>
      </c>
      <c r="P219" s="142" t="inlineStr">
        <is>
          <t>{"tbsp": 8, "tsp": 2.7}</t>
        </is>
      </c>
      <c r="Q219" s="142" t="inlineStr">
        <is>
          <t>Generic reference – verify</t>
        </is>
      </c>
      <c r="R219" s="142" t="inlineStr"/>
      <c r="S219" s="142" t="inlineStr"/>
      <c r="T219" s="142" t="b">
        <v>0</v>
      </c>
      <c r="U219" s="142" t="inlineStr">
        <is>
          <t>Generic reference estimate; verify against the product label or a confirmed food-composition record.</t>
        </is>
      </c>
      <c r="V219" s="171" t="n">
        <v>46223.9375</v>
      </c>
    </row>
    <row r="220">
      <c r="A220" s="142" t="inlineStr">
        <is>
          <t>ING219</t>
        </is>
      </c>
      <c r="B220" s="142" t="inlineStr">
        <is>
          <t>Capers, drained</t>
        </is>
      </c>
      <c r="C220" s="142" t="inlineStr"/>
      <c r="D220" s="142" t="inlineStr">
        <is>
          <t>drained</t>
        </is>
      </c>
      <c r="E220" s="142" t="inlineStr">
        <is>
          <t>100 g</t>
        </is>
      </c>
      <c r="F220" s="170" t="n">
        <v>100</v>
      </c>
      <c r="G220" s="170" t="inlineStr">
        <is>
          <t>g</t>
        </is>
      </c>
      <c r="H220" s="170" t="inlineStr"/>
      <c r="I220" s="170" t="n">
        <v>23</v>
      </c>
      <c r="J220" s="170" t="n">
        <v>2.4</v>
      </c>
      <c r="K220" s="170" t="n">
        <v>4.9</v>
      </c>
      <c r="L220" s="170" t="n">
        <v>0.9</v>
      </c>
      <c r="M220" s="170" t="n">
        <v>3.2</v>
      </c>
      <c r="N220" s="170" t="n">
        <v>2769</v>
      </c>
      <c r="O220" s="142" t="inlineStr">
        <is>
          <t>["caper", "capers"]</t>
        </is>
      </c>
      <c r="P220" s="142" t="inlineStr">
        <is>
          <t>{"tbsp": 8.6, "tsp": 2.9}</t>
        </is>
      </c>
      <c r="Q220" s="142" t="inlineStr">
        <is>
          <t>Generic reference – verify</t>
        </is>
      </c>
      <c r="R220" s="142" t="inlineStr"/>
      <c r="S220" s="142" t="inlineStr"/>
      <c r="T220" s="142" t="b">
        <v>0</v>
      </c>
      <c r="U220" s="142" t="inlineStr">
        <is>
          <t>Generic reference estimate; verify against the product label or a confirmed food-composition record.</t>
        </is>
      </c>
      <c r="V220" s="171" t="n">
        <v>46223.9375</v>
      </c>
    </row>
    <row r="221">
      <c r="A221" s="142" t="inlineStr">
        <is>
          <t>ING220</t>
        </is>
      </c>
      <c r="B221" s="142" t="inlineStr">
        <is>
          <t>Peanuts, raw</t>
        </is>
      </c>
      <c r="C221" s="142" t="inlineStr"/>
      <c r="D221" s="142" t="inlineStr">
        <is>
          <t>raw</t>
        </is>
      </c>
      <c r="E221" s="142" t="inlineStr">
        <is>
          <t>100 g</t>
        </is>
      </c>
      <c r="F221" s="170" t="n">
        <v>100</v>
      </c>
      <c r="G221" s="170" t="inlineStr">
        <is>
          <t>g</t>
        </is>
      </c>
      <c r="H221" s="170" t="inlineStr"/>
      <c r="I221" s="170" t="n">
        <v>567</v>
      </c>
      <c r="J221" s="170" t="n">
        <v>26</v>
      </c>
      <c r="K221" s="170" t="n">
        <v>16</v>
      </c>
      <c r="L221" s="170" t="n">
        <v>49</v>
      </c>
      <c r="M221" s="170" t="n">
        <v>8.5</v>
      </c>
      <c r="N221" s="170" t="n">
        <v>18</v>
      </c>
      <c r="O221" s="142" t="inlineStr">
        <is>
          <t>["peanut", "peanuts"]</t>
        </is>
      </c>
      <c r="P221" s="142" t="inlineStr">
        <is>
          <t>{"cup": 146, "tbsp": 9, "handful": 28}</t>
        </is>
      </c>
      <c r="Q221" s="142" t="inlineStr">
        <is>
          <t>Generic reference – verify</t>
        </is>
      </c>
      <c r="R221" s="142" t="inlineStr"/>
      <c r="S221" s="142" t="inlineStr"/>
      <c r="T221" s="142" t="b">
        <v>0</v>
      </c>
      <c r="U221" s="142" t="inlineStr">
        <is>
          <t>Generic reference estimate; verify against the product label or a confirmed food-composition record.</t>
        </is>
      </c>
      <c r="V221" s="171" t="n">
        <v>46223.9375</v>
      </c>
    </row>
    <row r="222">
      <c r="A222" s="142" t="inlineStr">
        <is>
          <t>ING221</t>
        </is>
      </c>
      <c r="B222" s="142" t="inlineStr">
        <is>
          <t>Rice paper wrappers</t>
        </is>
      </c>
      <c r="C222" s="142" t="inlineStr"/>
      <c r="D222" s="142" t="inlineStr">
        <is>
          <t>dry</t>
        </is>
      </c>
      <c r="E222" s="142" t="inlineStr">
        <is>
          <t>100 g</t>
        </is>
      </c>
      <c r="F222" s="170" t="n">
        <v>100</v>
      </c>
      <c r="G222" s="170" t="inlineStr">
        <is>
          <t>g</t>
        </is>
      </c>
      <c r="H222" s="170" t="inlineStr"/>
      <c r="I222" s="170" t="n">
        <v>329</v>
      </c>
      <c r="J222" s="170" t="n">
        <v>5.8</v>
      </c>
      <c r="K222" s="170" t="n">
        <v>76</v>
      </c>
      <c r="L222" s="170" t="n">
        <v>0.8</v>
      </c>
      <c r="M222" s="170" t="n">
        <v>1</v>
      </c>
      <c r="N222" s="170" t="n">
        <v>1000</v>
      </c>
      <c r="O222" s="142" t="inlineStr">
        <is>
          <t>["rice paper", "rice paper sheet", "rice paper wrappers"]</t>
        </is>
      </c>
      <c r="P222" s="142" t="inlineStr">
        <is>
          <t>{"sheet": 9, "each": 9}</t>
        </is>
      </c>
      <c r="Q222" s="142" t="inlineStr">
        <is>
          <t>Generic reference – verify</t>
        </is>
      </c>
      <c r="R222" s="142" t="inlineStr"/>
      <c r="S222" s="142" t="inlineStr"/>
      <c r="T222" s="142" t="b">
        <v>0</v>
      </c>
      <c r="U222" s="142" t="inlineStr">
        <is>
          <t>Generic reference estimate; verify against the product label or a confirmed food-composition record.</t>
        </is>
      </c>
      <c r="V222" s="171" t="n">
        <v>46223.9375</v>
      </c>
    </row>
    <row r="223">
      <c r="A223" s="142" t="inlineStr">
        <is>
          <t>ING222</t>
        </is>
      </c>
      <c r="B223" s="142" t="inlineStr">
        <is>
          <t>Nori seaweed, dried</t>
        </is>
      </c>
      <c r="C223" s="142" t="inlineStr"/>
      <c r="D223" s="142" t="inlineStr">
        <is>
          <t>dry</t>
        </is>
      </c>
      <c r="E223" s="142" t="inlineStr">
        <is>
          <t>100 g</t>
        </is>
      </c>
      <c r="F223" s="170" t="n">
        <v>100</v>
      </c>
      <c r="G223" s="170" t="inlineStr">
        <is>
          <t>g</t>
        </is>
      </c>
      <c r="H223" s="170" t="inlineStr"/>
      <c r="I223" s="170" t="n">
        <v>306</v>
      </c>
      <c r="J223" s="170" t="n">
        <v>41</v>
      </c>
      <c r="K223" s="170" t="n">
        <v>44</v>
      </c>
      <c r="L223" s="170" t="n">
        <v>3.7</v>
      </c>
      <c r="M223" s="170" t="n">
        <v>0</v>
      </c>
      <c r="N223" s="170" t="n">
        <v>530</v>
      </c>
      <c r="O223" s="142" t="inlineStr">
        <is>
          <t>["nori", "nori sheet", "seaweed sheet"]</t>
        </is>
      </c>
      <c r="P223" s="142" t="inlineStr">
        <is>
          <t>{"sheet": 2.5, "each": 2.5}</t>
        </is>
      </c>
      <c r="Q223" s="142" t="inlineStr">
        <is>
          <t>Generic reference – verify</t>
        </is>
      </c>
      <c r="R223" s="142" t="inlineStr"/>
      <c r="S223" s="142" t="inlineStr"/>
      <c r="T223" s="142" t="b">
        <v>0</v>
      </c>
      <c r="U223" s="142" t="inlineStr">
        <is>
          <t>Generic reference estimate; verify against the product label or a confirmed food-composition record.</t>
        </is>
      </c>
      <c r="V223" s="171" t="n">
        <v>46223.9375</v>
      </c>
    </row>
    <row r="224">
      <c r="A224" s="142" t="inlineStr">
        <is>
          <t>ING223</t>
        </is>
      </c>
      <c r="B224" s="142" t="inlineStr">
        <is>
          <t>Kombucha, plain</t>
        </is>
      </c>
      <c r="C224" s="142" t="inlineStr"/>
      <c r="D224" s="142" t="inlineStr">
        <is>
          <t>liquid</t>
        </is>
      </c>
      <c r="E224" s="142" t="inlineStr">
        <is>
          <t>100 g</t>
        </is>
      </c>
      <c r="F224" s="170" t="n">
        <v>100</v>
      </c>
      <c r="G224" s="170" t="inlineStr">
        <is>
          <t>g</t>
        </is>
      </c>
      <c r="H224" s="170" t="n">
        <v>1</v>
      </c>
      <c r="I224" s="170" t="n">
        <v>12</v>
      </c>
      <c r="J224" s="170" t="n">
        <v>0</v>
      </c>
      <c r="K224" s="170" t="n">
        <v>2.5</v>
      </c>
      <c r="L224" s="170" t="n">
        <v>0</v>
      </c>
      <c r="M224" s="170" t="n">
        <v>0</v>
      </c>
      <c r="N224" s="170" t="n">
        <v>5</v>
      </c>
      <c r="O224" s="142" t="inlineStr">
        <is>
          <t>["kombucha", "plain kombucha"]</t>
        </is>
      </c>
      <c r="P224" s="142" t="inlineStr">
        <is>
          <t>{"cup": 240, "tbsp": 15}</t>
        </is>
      </c>
      <c r="Q224" s="142" t="inlineStr">
        <is>
          <t>Generic reference – verify</t>
        </is>
      </c>
      <c r="R224" s="142" t="inlineStr"/>
      <c r="S224" s="142" t="inlineStr"/>
      <c r="T224" s="142" t="b">
        <v>0</v>
      </c>
      <c r="U224" s="142" t="inlineStr">
        <is>
          <t>Generic reference estimate; verify against the product label or a confirmed food-composition record.</t>
        </is>
      </c>
      <c r="V224" s="171" t="n">
        <v>46223.9375</v>
      </c>
    </row>
    <row r="225">
      <c r="A225" s="142" t="inlineStr">
        <is>
          <t>ING224</t>
        </is>
      </c>
      <c r="B225" s="142" t="inlineStr">
        <is>
          <t>Stevia sweetener, granulated</t>
        </is>
      </c>
      <c r="C225" s="142" t="inlineStr"/>
      <c r="D225" s="142" t="inlineStr">
        <is>
          <t>dry</t>
        </is>
      </c>
      <c r="E225" s="142" t="inlineStr">
        <is>
          <t>100 g</t>
        </is>
      </c>
      <c r="F225" s="170" t="n">
        <v>100</v>
      </c>
      <c r="G225" s="170" t="inlineStr">
        <is>
          <t>g</t>
        </is>
      </c>
      <c r="H225" s="170" t="inlineStr"/>
      <c r="I225" s="170" t="n">
        <v>0</v>
      </c>
      <c r="J225" s="170" t="n">
        <v>0</v>
      </c>
      <c r="K225" s="170" t="n">
        <v>100</v>
      </c>
      <c r="L225" s="170" t="n">
        <v>0</v>
      </c>
      <c r="M225" s="170" t="n">
        <v>0</v>
      </c>
      <c r="N225" s="170" t="n">
        <v>0</v>
      </c>
      <c r="O225" s="142" t="inlineStr">
        <is>
          <t>["granulated stevia", "stevia", "stevia granules"]</t>
        </is>
      </c>
      <c r="P225" s="142" t="inlineStr">
        <is>
          <t>{"tsp": 4, "tbsp": 12}</t>
        </is>
      </c>
      <c r="Q225" s="142" t="inlineStr">
        <is>
          <t>Generic reference – verify</t>
        </is>
      </c>
      <c r="R225" s="142" t="inlineStr"/>
      <c r="S225" s="142" t="inlineStr"/>
      <c r="T225" s="142" t="b">
        <v>0</v>
      </c>
      <c r="U225" s="142" t="inlineStr">
        <is>
          <t>Many granulated stevia products contain bulking agents and vary greatly. Treat this as a placeholder and enter the product label.</t>
        </is>
      </c>
      <c r="V225" s="171" t="n">
        <v>46223.9375</v>
      </c>
    </row>
  </sheetData>
  <autoFilter ref="A1:V225"/>
  <conditionalFormatting sqref="T2:T51">
    <cfRule type="expression" priority="1" dxfId="3">
      <formula>T2=TRUE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L7"/>
  <sheetViews>
    <sheetView workbookViewId="0">
      <selection activeCell="A1" sqref="A1"/>
    </sheetView>
  </sheetViews>
  <sheetFormatPr baseColWidth="8" defaultRowHeight="15"/>
  <cols>
    <col width="14" customWidth="1" style="91" min="1" max="1"/>
    <col width="30" customWidth="1" style="91" min="2" max="2"/>
    <col width="16" customWidth="1" style="91" min="3" max="3"/>
    <col width="10" customWidth="1" style="91" min="4" max="4"/>
    <col width="18" customWidth="1" style="91" min="5" max="5"/>
    <col width="13" customWidth="1" style="91" min="6" max="6"/>
    <col width="16" customWidth="1" style="91" min="7" max="7"/>
    <col width="15" customWidth="1" style="91" min="8" max="8"/>
    <col width="13" customWidth="1" style="91" min="9" max="9"/>
    <col width="15" customWidth="1" style="91" min="10" max="10"/>
    <col width="17" customWidth="1" style="91" min="11" max="11"/>
    <col width="16" customWidth="1" style="91" min="12" max="12"/>
    <col width="18" customWidth="1" style="91" min="13" max="13"/>
    <col width="17" customWidth="1" style="91" min="14" max="14"/>
    <col width="15" customWidth="1" style="91" min="15" max="15"/>
    <col width="15" customWidth="1" style="91" min="16" max="16"/>
    <col width="14" customWidth="1" style="91" min="17" max="17"/>
    <col width="24" customWidth="1" style="91" min="18" max="18"/>
    <col width="38" customWidth="1" style="91" min="19" max="19"/>
    <col width="20" customWidth="1" style="91" min="20" max="20"/>
    <col width="24" customWidth="1" style="91" min="21" max="21"/>
    <col width="20" customWidth="1" style="91" min="22" max="22"/>
    <col width="12" customWidth="1" style="91" min="23" max="23"/>
    <col width="12" customWidth="1" style="91" min="24" max="24"/>
    <col width="12" customWidth="1" style="91" min="25" max="25"/>
    <col width="18" customWidth="1" style="91" min="26" max="26"/>
    <col width="18" customWidth="1" style="91" min="27" max="27"/>
    <col width="15" customWidth="1" style="91" min="28" max="28"/>
    <col width="30" customWidth="1" style="91" min="29" max="29"/>
    <col width="38" customWidth="1" style="91" min="30" max="30"/>
    <col width="38" customWidth="1" style="91" min="31" max="31"/>
    <col width="14" customWidth="1" style="91" min="32" max="32"/>
    <col width="11" customWidth="1" style="91" min="33" max="33"/>
    <col width="16" customWidth="1" style="91" min="34" max="34"/>
    <col width="14" customWidth="1" style="91" min="35" max="35"/>
    <col width="58" customWidth="1" style="91" min="36" max="36"/>
    <col width="58" customWidth="1" style="91" min="37" max="37"/>
    <col width="20" customWidth="1" style="91" min="38" max="38"/>
  </cols>
  <sheetData>
    <row r="1" ht="30" customHeight="1" s="91">
      <c r="A1" s="118" t="inlineStr">
        <is>
          <t>RecipeID</t>
        </is>
      </c>
      <c r="B1" s="118" t="inlineStr">
        <is>
          <t>RecipeName</t>
        </is>
      </c>
      <c r="C1" s="118" t="inlineStr">
        <is>
          <t>Category</t>
        </is>
      </c>
      <c r="D1" s="118" t="inlineStr">
        <is>
          <t>Servings</t>
        </is>
      </c>
      <c r="E1" s="118" t="inlineStr">
        <is>
          <t>FinishedWeight_g</t>
        </is>
      </c>
      <c r="F1" s="118" t="inlineStr">
        <is>
          <t>Total_kcal</t>
        </is>
      </c>
      <c r="G1" s="118" t="inlineStr">
        <is>
          <t>Total_Protein_g</t>
        </is>
      </c>
      <c r="H1" s="118" t="inlineStr">
        <is>
          <t>Total_Carbs_g</t>
        </is>
      </c>
      <c r="I1" s="118" t="inlineStr">
        <is>
          <t>Total_Fat_g</t>
        </is>
      </c>
      <c r="J1" s="118" t="inlineStr">
        <is>
          <t>Total_Fibre_g</t>
        </is>
      </c>
      <c r="K1" s="118" t="inlineStr">
        <is>
          <t>Total_Sodium_mg</t>
        </is>
      </c>
      <c r="L1" s="118" t="inlineStr">
        <is>
          <t>kcal_per_serving</t>
        </is>
      </c>
      <c r="M1" s="118" t="inlineStr">
        <is>
          <t>Protein_per_serving</t>
        </is>
      </c>
      <c r="N1" s="118" t="inlineStr">
        <is>
          <t>Carbs_per_serving</t>
        </is>
      </c>
      <c r="O1" s="118" t="inlineStr">
        <is>
          <t>Fat_per_serving</t>
        </is>
      </c>
      <c r="P1" s="118" t="inlineStr">
        <is>
          <t>kcal_per_100g</t>
        </is>
      </c>
      <c r="Q1" s="118" t="inlineStr">
        <is>
          <t>SourceType</t>
        </is>
      </c>
      <c r="R1" s="118" t="inlineStr">
        <is>
          <t>SourceName</t>
        </is>
      </c>
      <c r="S1" s="118" t="inlineStr">
        <is>
          <t>SourceURL</t>
        </is>
      </c>
      <c r="T1" s="118" t="inlineStr">
        <is>
          <t>SourceAuthor</t>
        </is>
      </c>
      <c r="U1" s="118" t="inlineStr">
        <is>
          <t>SourceBook</t>
        </is>
      </c>
      <c r="V1" s="118" t="inlineStr">
        <is>
          <t>ImportedAt</t>
        </is>
      </c>
      <c r="W1" s="118" t="inlineStr">
        <is>
          <t>PrepTime</t>
        </is>
      </c>
      <c r="X1" s="118" t="inlineStr">
        <is>
          <t>CookTime</t>
        </is>
      </c>
      <c r="Y1" s="118" t="inlineStr">
        <is>
          <t>TotalTime</t>
        </is>
      </c>
      <c r="Z1" s="118" t="inlineStr">
        <is>
          <t>YieldText</t>
        </is>
      </c>
      <c r="AA1" s="118" t="inlineStr">
        <is>
          <t>NutritionConfidence</t>
        </is>
      </c>
      <c r="AB1" s="118" t="inlineStr">
        <is>
          <t>ImportStatus</t>
        </is>
      </c>
      <c r="AC1" s="118" t="inlineStr">
        <is>
          <t>TagsJSON</t>
        </is>
      </c>
      <c r="AD1" s="118" t="inlineStr">
        <is>
          <t>ImageURL</t>
        </is>
      </c>
      <c r="AE1" s="118" t="inlineStr">
        <is>
          <t>SourceNutritionJSON</t>
        </is>
      </c>
      <c r="AF1" s="118" t="inlineStr">
        <is>
          <t>RFL_Friendly</t>
        </is>
      </c>
      <c r="AG1" s="118" t="inlineStr">
        <is>
          <t>Favourite</t>
        </is>
      </c>
      <c r="AH1" s="118" t="inlineStr">
        <is>
          <t>No_Bell_Peppers</t>
        </is>
      </c>
      <c r="AI1" s="118" t="inlineStr">
        <is>
          <t>No_Shellfish</t>
        </is>
      </c>
      <c r="AJ1" s="118" t="inlineStr">
        <is>
          <t>Instructions</t>
        </is>
      </c>
      <c r="AK1" s="118" t="inlineStr">
        <is>
          <t>Notes</t>
        </is>
      </c>
      <c r="AL1" s="118" t="inlineStr">
        <is>
          <t>UpdatedAt</t>
        </is>
      </c>
    </row>
    <row r="2">
      <c r="A2" s="144" t="inlineStr">
        <is>
          <t>RCP001</t>
        </is>
      </c>
      <c r="B2" s="144" t="inlineStr">
        <is>
          <t>Chicken courgette rice bowl</t>
        </is>
      </c>
      <c r="C2" s="144" t="inlineStr">
        <is>
          <t>Normal cut</t>
        </is>
      </c>
      <c r="D2" s="172" t="n">
        <v>2</v>
      </c>
      <c r="E2" s="172" t="str"/>
      <c r="F2" s="172" t="n">
        <v>780</v>
      </c>
      <c r="G2" s="172" t="n">
        <v>92</v>
      </c>
      <c r="H2" s="172" t="n">
        <v>72</v>
      </c>
      <c r="I2" s="172" t="n">
        <v>14</v>
      </c>
      <c r="J2" s="172" t="n">
        <v>0</v>
      </c>
      <c r="K2" s="172" t="n">
        <v>0</v>
      </c>
      <c r="L2" s="172">
        <f>IFERROR(F2/D2,"")</f>
        <v/>
      </c>
      <c r="M2" s="172">
        <f>IFERROR(G2/D2,"")</f>
        <v/>
      </c>
      <c r="N2" s="172">
        <f>IFERROR(H2/D2,"")</f>
        <v/>
      </c>
      <c r="O2" s="172">
        <f>IFERROR(I2/D2,"")</f>
        <v/>
      </c>
      <c r="P2" s="172">
        <f>IFERROR(F2/E2*100,"")</f>
        <v/>
      </c>
      <c r="Q2" s="144" t="inlineStr">
        <is>
          <t>Seed</t>
        </is>
      </c>
      <c r="R2" s="144" t="inlineStr">
        <is>
          <t>Lift &amp; Cut starter recipe</t>
        </is>
      </c>
      <c r="S2" s="144" t="str"/>
      <c r="T2" s="144" t="str"/>
      <c r="U2" s="144" t="str"/>
      <c r="V2" s="173" t="n"/>
      <c r="W2" s="144" t="str"/>
      <c r="X2" s="144" t="str"/>
      <c r="Y2" s="144" t="str"/>
      <c r="Z2" s="144" t="inlineStr">
        <is>
          <t>2 servings</t>
        </is>
      </c>
      <c r="AA2" s="144" t="inlineStr">
        <is>
          <t>Manual</t>
        </is>
      </c>
      <c r="AB2" s="144" t="inlineStr">
        <is>
          <t>Ready</t>
        </is>
      </c>
      <c r="AC2" s="144" t="inlineStr">
        <is>
          <t>[]</t>
        </is>
      </c>
      <c r="AD2" s="144" t="str"/>
      <c r="AE2" s="144" t="inlineStr">
        <is>
          <t>{}</t>
        </is>
      </c>
      <c r="AF2" s="144" t="inlineStr">
        <is>
          <t>No</t>
        </is>
      </c>
      <c r="AG2" s="144" t="b">
        <v>0</v>
      </c>
      <c r="AH2" s="144" t="inlineStr">
        <is>
          <t>Yes</t>
        </is>
      </c>
      <c r="AI2" s="144" t="inlineStr">
        <is>
          <t>Yes</t>
        </is>
      </c>
      <c r="AJ2" s="144" t="str"/>
      <c r="AK2" s="144" t="inlineStr">
        <is>
          <t>Example values only. No bell peppers; adjust to your ingredients.</t>
        </is>
      </c>
      <c r="AL2" s="173" t="n">
        <v>46222.41666666666</v>
      </c>
    </row>
    <row r="3">
      <c r="A3" s="144" t="inlineStr">
        <is>
          <t>RCP002</t>
        </is>
      </c>
      <c r="B3" s="144" t="inlineStr">
        <is>
          <t>Greek yoghurt whey bowl</t>
        </is>
      </c>
      <c r="C3" s="144" t="inlineStr">
        <is>
          <t>High protein</t>
        </is>
      </c>
      <c r="D3" s="172" t="n">
        <v>1</v>
      </c>
      <c r="E3" s="172" t="str"/>
      <c r="F3" s="172" t="n">
        <v>410</v>
      </c>
      <c r="G3" s="172" t="n">
        <v>55</v>
      </c>
      <c r="H3" s="172" t="n">
        <v>32</v>
      </c>
      <c r="I3" s="172" t="n">
        <v>6</v>
      </c>
      <c r="J3" s="172" t="n">
        <v>0</v>
      </c>
      <c r="K3" s="172" t="n">
        <v>0</v>
      </c>
      <c r="L3" s="172">
        <f>IFERROR(F3/D3,"")</f>
        <v/>
      </c>
      <c r="M3" s="172">
        <f>IFERROR(G3/D3,"")</f>
        <v/>
      </c>
      <c r="N3" s="172">
        <f>IFERROR(H3/D3,"")</f>
        <v/>
      </c>
      <c r="O3" s="172">
        <f>IFERROR(I3/D3,"")</f>
        <v/>
      </c>
      <c r="P3" s="172">
        <f>IFERROR(F3/E3*100,"")</f>
        <v/>
      </c>
      <c r="Q3" s="144" t="inlineStr">
        <is>
          <t>Seed</t>
        </is>
      </c>
      <c r="R3" s="144" t="inlineStr">
        <is>
          <t>Lift &amp; Cut starter recipe</t>
        </is>
      </c>
      <c r="S3" s="144" t="str"/>
      <c r="T3" s="144" t="str"/>
      <c r="U3" s="144" t="str"/>
      <c r="V3" s="173" t="n"/>
      <c r="W3" s="144" t="str"/>
      <c r="X3" s="144" t="str"/>
      <c r="Y3" s="144" t="str"/>
      <c r="Z3" s="144" t="inlineStr">
        <is>
          <t>1 servings</t>
        </is>
      </c>
      <c r="AA3" s="144" t="inlineStr">
        <is>
          <t>Manual</t>
        </is>
      </c>
      <c r="AB3" s="144" t="inlineStr">
        <is>
          <t>Ready</t>
        </is>
      </c>
      <c r="AC3" s="144" t="inlineStr">
        <is>
          <t>[]</t>
        </is>
      </c>
      <c r="AD3" s="144" t="str"/>
      <c r="AE3" s="144" t="inlineStr">
        <is>
          <t>{}</t>
        </is>
      </c>
      <c r="AF3" s="144" t="inlineStr">
        <is>
          <t>Yes</t>
        </is>
      </c>
      <c r="AG3" s="144" t="b">
        <v>1</v>
      </c>
      <c r="AH3" s="144" t="inlineStr">
        <is>
          <t>Yes</t>
        </is>
      </c>
      <c r="AI3" s="144" t="inlineStr">
        <is>
          <t>Yes</t>
        </is>
      </c>
      <c r="AJ3" s="144" t="str"/>
      <c r="AK3" s="144" t="inlineStr">
        <is>
          <t>Good quick protein option; use exact label values.</t>
        </is>
      </c>
      <c r="AL3" s="173" t="n">
        <v>46222.41666666666</v>
      </c>
    </row>
    <row r="4">
      <c r="A4" s="144" t="inlineStr">
        <is>
          <t>RCP003</t>
        </is>
      </c>
      <c r="B4" s="144" t="inlineStr">
        <is>
          <t>Egg-white spinach omelette</t>
        </is>
      </c>
      <c r="C4" s="144" t="inlineStr">
        <is>
          <t>RFL-friendly</t>
        </is>
      </c>
      <c r="D4" s="172" t="n">
        <v>1</v>
      </c>
      <c r="E4" s="172" t="str"/>
      <c r="F4" s="172" t="n">
        <v>260</v>
      </c>
      <c r="G4" s="172" t="n">
        <v>42</v>
      </c>
      <c r="H4" s="172" t="n">
        <v>8</v>
      </c>
      <c r="I4" s="172" t="n">
        <v>6</v>
      </c>
      <c r="J4" s="172" t="n">
        <v>0</v>
      </c>
      <c r="K4" s="172" t="n">
        <v>0</v>
      </c>
      <c r="L4" s="172">
        <f>IFERROR(F4/D4,"")</f>
        <v/>
      </c>
      <c r="M4" s="172">
        <f>IFERROR(G4/D4,"")</f>
        <v/>
      </c>
      <c r="N4" s="172">
        <f>IFERROR(H4/D4,"")</f>
        <v/>
      </c>
      <c r="O4" s="172">
        <f>IFERROR(I4/D4,"")</f>
        <v/>
      </c>
      <c r="P4" s="172">
        <f>IFERROR(F4/E4*100,"")</f>
        <v/>
      </c>
      <c r="Q4" s="144" t="inlineStr">
        <is>
          <t>Seed</t>
        </is>
      </c>
      <c r="R4" s="144" t="inlineStr">
        <is>
          <t>Lift &amp; Cut starter recipe</t>
        </is>
      </c>
      <c r="S4" s="144" t="str"/>
      <c r="T4" s="144" t="str"/>
      <c r="U4" s="144" t="str"/>
      <c r="V4" s="173" t="n"/>
      <c r="W4" s="144" t="str"/>
      <c r="X4" s="144" t="str"/>
      <c r="Y4" s="144" t="str"/>
      <c r="Z4" s="144" t="inlineStr">
        <is>
          <t>1 servings</t>
        </is>
      </c>
      <c r="AA4" s="144" t="inlineStr">
        <is>
          <t>Manual</t>
        </is>
      </c>
      <c r="AB4" s="144" t="inlineStr">
        <is>
          <t>Ready</t>
        </is>
      </c>
      <c r="AC4" s="144" t="inlineStr">
        <is>
          <t>[]</t>
        </is>
      </c>
      <c r="AD4" s="144" t="str"/>
      <c r="AE4" s="144" t="inlineStr">
        <is>
          <t>{}</t>
        </is>
      </c>
      <c r="AF4" s="144" t="inlineStr">
        <is>
          <t>Yes</t>
        </is>
      </c>
      <c r="AG4" s="144" t="b">
        <v>1</v>
      </c>
      <c r="AH4" s="144" t="inlineStr">
        <is>
          <t>Yes</t>
        </is>
      </c>
      <c r="AI4" s="144" t="inlineStr">
        <is>
          <t>Yes</t>
        </is>
      </c>
      <c r="AJ4" s="144" t="str"/>
      <c r="AK4" s="144" t="inlineStr">
        <is>
          <t>Use herbs, spinach, mushrooms; avoid bell peppers.</t>
        </is>
      </c>
      <c r="AL4" s="173" t="n">
        <v>46222.41666666666</v>
      </c>
    </row>
    <row r="5">
      <c r="A5" s="144" t="inlineStr">
        <is>
          <t>RCP004</t>
        </is>
      </c>
      <c r="B5" s="144" t="inlineStr">
        <is>
          <t>Lean turkey tomato mince</t>
        </is>
      </c>
      <c r="C5" s="144" t="inlineStr">
        <is>
          <t>Batch cook</t>
        </is>
      </c>
      <c r="D5" s="172" t="n">
        <v>4</v>
      </c>
      <c r="E5" s="172" t="str"/>
      <c r="F5" s="172" t="n">
        <v>1280</v>
      </c>
      <c r="G5" s="172" t="n">
        <v>156</v>
      </c>
      <c r="H5" s="172" t="n">
        <v>64</v>
      </c>
      <c r="I5" s="172" t="n">
        <v>36</v>
      </c>
      <c r="J5" s="172" t="n">
        <v>0</v>
      </c>
      <c r="K5" s="172" t="n">
        <v>0</v>
      </c>
      <c r="L5" s="172">
        <f>IFERROR(F5/D5,"")</f>
        <v/>
      </c>
      <c r="M5" s="172">
        <f>IFERROR(G5/D5,"")</f>
        <v/>
      </c>
      <c r="N5" s="172">
        <f>IFERROR(H5/D5,"")</f>
        <v/>
      </c>
      <c r="O5" s="172">
        <f>IFERROR(I5/D5,"")</f>
        <v/>
      </c>
      <c r="P5" s="172">
        <f>IFERROR(F5/E5*100,"")</f>
        <v/>
      </c>
      <c r="Q5" s="144" t="inlineStr">
        <is>
          <t>Seed</t>
        </is>
      </c>
      <c r="R5" s="144" t="inlineStr">
        <is>
          <t>Lift &amp; Cut starter recipe</t>
        </is>
      </c>
      <c r="S5" s="144" t="str"/>
      <c r="T5" s="144" t="str"/>
      <c r="U5" s="144" t="str"/>
      <c r="V5" s="173" t="n"/>
      <c r="W5" s="144" t="str"/>
      <c r="X5" s="144" t="str"/>
      <c r="Y5" s="144" t="str"/>
      <c r="Z5" s="144" t="inlineStr">
        <is>
          <t>4 servings</t>
        </is>
      </c>
      <c r="AA5" s="144" t="inlineStr">
        <is>
          <t>Manual</t>
        </is>
      </c>
      <c r="AB5" s="144" t="inlineStr">
        <is>
          <t>Ready</t>
        </is>
      </c>
      <c r="AC5" s="144" t="inlineStr">
        <is>
          <t>[]</t>
        </is>
      </c>
      <c r="AD5" s="144" t="str"/>
      <c r="AE5" s="144" t="inlineStr">
        <is>
          <t>{}</t>
        </is>
      </c>
      <c r="AF5" s="144" t="inlineStr">
        <is>
          <t>Maybe</t>
        </is>
      </c>
      <c r="AG5" s="144" t="b">
        <v>0</v>
      </c>
      <c r="AH5" s="144" t="inlineStr">
        <is>
          <t>Yes</t>
        </is>
      </c>
      <c r="AI5" s="144" t="inlineStr">
        <is>
          <t>Yes</t>
        </is>
      </c>
      <c r="AJ5" s="144" t="str"/>
      <c r="AK5" s="144" t="inlineStr">
        <is>
          <t>Serve with rice/potatoes outside RFL or vegetables during RFL.</t>
        </is>
      </c>
      <c r="AL5" s="173" t="n">
        <v>46222.41666666666</v>
      </c>
    </row>
    <row r="6">
      <c r="A6" s="144" t="inlineStr">
        <is>
          <t>RCP005</t>
        </is>
      </c>
      <c r="B6" s="144" t="inlineStr">
        <is>
          <t>Tuna potato salad</t>
        </is>
      </c>
      <c r="C6" s="144" t="inlineStr">
        <is>
          <t>Normal cut</t>
        </is>
      </c>
      <c r="D6" s="172" t="n">
        <v>2</v>
      </c>
      <c r="E6" s="172" t="str"/>
      <c r="F6" s="172" t="n">
        <v>650</v>
      </c>
      <c r="G6" s="172" t="n">
        <v>62</v>
      </c>
      <c r="H6" s="172" t="n">
        <v>82</v>
      </c>
      <c r="I6" s="172" t="n">
        <v>8</v>
      </c>
      <c r="J6" s="172" t="n">
        <v>0</v>
      </c>
      <c r="K6" s="172" t="n">
        <v>0</v>
      </c>
      <c r="L6" s="172">
        <f>IFERROR(F6/D6,"")</f>
        <v/>
      </c>
      <c r="M6" s="172">
        <f>IFERROR(G6/D6,"")</f>
        <v/>
      </c>
      <c r="N6" s="172">
        <f>IFERROR(H6/D6,"")</f>
        <v/>
      </c>
      <c r="O6" s="172">
        <f>IFERROR(I6/D6,"")</f>
        <v/>
      </c>
      <c r="P6" s="172">
        <f>IFERROR(F6/E6*100,"")</f>
        <v/>
      </c>
      <c r="Q6" s="144" t="inlineStr">
        <is>
          <t>Seed</t>
        </is>
      </c>
      <c r="R6" s="144" t="inlineStr">
        <is>
          <t>Lift &amp; Cut starter recipe</t>
        </is>
      </c>
      <c r="S6" s="144" t="str"/>
      <c r="T6" s="144" t="str"/>
      <c r="U6" s="144" t="str"/>
      <c r="V6" s="173" t="n"/>
      <c r="W6" s="144" t="str"/>
      <c r="X6" s="144" t="str"/>
      <c r="Y6" s="144" t="str"/>
      <c r="Z6" s="144" t="inlineStr">
        <is>
          <t>2 servings</t>
        </is>
      </c>
      <c r="AA6" s="144" t="inlineStr">
        <is>
          <t>Manual</t>
        </is>
      </c>
      <c r="AB6" s="144" t="inlineStr">
        <is>
          <t>Ready</t>
        </is>
      </c>
      <c r="AC6" s="144" t="inlineStr">
        <is>
          <t>[]</t>
        </is>
      </c>
      <c r="AD6" s="144" t="str"/>
      <c r="AE6" s="144" t="inlineStr">
        <is>
          <t>{}</t>
        </is>
      </c>
      <c r="AF6" s="144" t="inlineStr">
        <is>
          <t>No</t>
        </is>
      </c>
      <c r="AG6" s="144" t="b">
        <v>0</v>
      </c>
      <c r="AH6" s="144" t="inlineStr">
        <is>
          <t>Yes</t>
        </is>
      </c>
      <c r="AI6" s="144" t="inlineStr">
        <is>
          <t>Yes</t>
        </is>
      </c>
      <c r="AJ6" s="144" t="str"/>
      <c r="AK6" s="144" t="inlineStr">
        <is>
          <t>Tuna is not shellfish; avoid mayo-heavy versions.</t>
        </is>
      </c>
      <c r="AL6" s="173" t="n">
        <v>46222.41666666666</v>
      </c>
    </row>
    <row r="7">
      <c r="A7" s="144" t="inlineStr">
        <is>
          <t>RCP006</t>
        </is>
      </c>
      <c r="B7" s="144" t="inlineStr">
        <is>
          <t>Cottage cheese chicken salad</t>
        </is>
      </c>
      <c r="C7" s="144" t="inlineStr">
        <is>
          <t>RFL-friendly</t>
        </is>
      </c>
      <c r="D7" s="172" t="n">
        <v>1</v>
      </c>
      <c r="E7" s="172" t="str"/>
      <c r="F7" s="172" t="n">
        <v>360</v>
      </c>
      <c r="G7" s="172" t="n">
        <v>60</v>
      </c>
      <c r="H7" s="172" t="n">
        <v>14</v>
      </c>
      <c r="I7" s="172" t="n">
        <v>7</v>
      </c>
      <c r="J7" s="172" t="n">
        <v>0</v>
      </c>
      <c r="K7" s="172" t="n">
        <v>0</v>
      </c>
      <c r="L7" s="172">
        <f>IFERROR(F7/D7,"")</f>
        <v/>
      </c>
      <c r="M7" s="172">
        <f>IFERROR(G7/D7,"")</f>
        <v/>
      </c>
      <c r="N7" s="172">
        <f>IFERROR(H7/D7,"")</f>
        <v/>
      </c>
      <c r="O7" s="172">
        <f>IFERROR(I7/D7,"")</f>
        <v/>
      </c>
      <c r="P7" s="172">
        <f>IFERROR(F7/E7*100,"")</f>
        <v/>
      </c>
      <c r="Q7" s="144" t="inlineStr">
        <is>
          <t>Seed</t>
        </is>
      </c>
      <c r="R7" s="144" t="inlineStr">
        <is>
          <t>Lift &amp; Cut starter recipe</t>
        </is>
      </c>
      <c r="S7" s="144" t="str"/>
      <c r="T7" s="144" t="str"/>
      <c r="U7" s="144" t="str"/>
      <c r="V7" s="173" t="n"/>
      <c r="W7" s="144" t="str"/>
      <c r="X7" s="144" t="str"/>
      <c r="Y7" s="144" t="str"/>
      <c r="Z7" s="144" t="inlineStr">
        <is>
          <t>1 servings</t>
        </is>
      </c>
      <c r="AA7" s="144" t="inlineStr">
        <is>
          <t>Manual</t>
        </is>
      </c>
      <c r="AB7" s="144" t="inlineStr">
        <is>
          <t>Ready</t>
        </is>
      </c>
      <c r="AC7" s="144" t="inlineStr">
        <is>
          <t>[]</t>
        </is>
      </c>
      <c r="AD7" s="144" t="str"/>
      <c r="AE7" s="144" t="inlineStr">
        <is>
          <t>{}</t>
        </is>
      </c>
      <c r="AF7" s="144" t="inlineStr">
        <is>
          <t>Yes</t>
        </is>
      </c>
      <c r="AG7" s="144" t="b">
        <v>1</v>
      </c>
      <c r="AH7" s="144" t="inlineStr">
        <is>
          <t>Yes</t>
        </is>
      </c>
      <c r="AI7" s="144" t="inlineStr">
        <is>
          <t>Yes</t>
        </is>
      </c>
      <c r="AJ7" s="144" t="str"/>
      <c r="AK7" s="144" t="inlineStr">
        <is>
          <t>Use cucumber, lettuce, tomato; no bell peppers.</t>
        </is>
      </c>
      <c r="AL7" s="173" t="n">
        <v>46222.41666666666</v>
      </c>
    </row>
  </sheetData>
  <conditionalFormatting sqref="M2:M1000">
    <cfRule type="expression" priority="1" dxfId="0">
      <formula>M2="Yes"</formula>
    </cfRule>
  </conditionalFormatting>
  <conditionalFormatting sqref="AA2:AA7">
    <cfRule type="expression" priority="2" dxfId="1">
      <formula>AA2="High"</formula>
    </cfRule>
    <cfRule type="expression" priority="3" dxfId="2">
      <formula>AA2="Low"</formula>
    </cfRule>
  </conditionalFormatting>
  <dataValidations count="1">
    <dataValidation sqref="M2:M1000" showDropDown="0" showInputMessage="0" showErrorMessage="0" allowBlank="0" type="list">
      <formula1>"Yes,Maybe,No"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selection activeCell="A1" sqref="A1"/>
    </sheetView>
  </sheetViews>
  <sheetFormatPr baseColWidth="8" defaultRowHeight="15"/>
  <cols>
    <col width="18" customWidth="1" style="91" min="1" max="1"/>
    <col width="14" customWidth="1" style="91" min="2" max="2"/>
    <col width="14" customWidth="1" style="91" min="3" max="3"/>
    <col width="26" customWidth="1" style="91" min="4" max="4"/>
    <col width="42" customWidth="1" style="91" min="5" max="5"/>
    <col width="12" customWidth="1" style="91" min="6" max="6"/>
    <col width="10" customWidth="1" style="91" min="7" max="7"/>
    <col width="11" customWidth="1" style="91" min="8" max="8"/>
    <col width="18" customWidth="1" style="91" min="9" max="9"/>
    <col width="16" customWidth="1" style="91" min="10" max="10"/>
    <col width="10" customWidth="1" style="91" min="11" max="11"/>
    <col width="12" customWidth="1" style="91" min="12" max="12"/>
    <col width="11" customWidth="1" style="91" min="13" max="13"/>
    <col width="10" customWidth="1" style="91" min="14" max="14"/>
    <col width="11" customWidth="1" style="91" min="15" max="15"/>
    <col width="13" customWidth="1" style="91" min="16" max="16"/>
    <col width="42" customWidth="1" style="91" min="17" max="17"/>
    <col width="20" customWidth="1" style="91" min="18" max="18"/>
  </cols>
  <sheetData>
    <row r="1" ht="30" customHeight="1" s="91">
      <c r="A1" s="118" t="inlineStr">
        <is>
          <t>IngredientRowID</t>
        </is>
      </c>
      <c r="B1" s="118" t="inlineStr">
        <is>
          <t>RecipeID</t>
        </is>
      </c>
      <c r="C1" s="118" t="inlineStr">
        <is>
          <t>IngredientID</t>
        </is>
      </c>
      <c r="D1" s="118" t="inlineStr">
        <is>
          <t>IngredientName</t>
        </is>
      </c>
      <c r="E1" s="118" t="inlineStr">
        <is>
          <t>SourceLine</t>
        </is>
      </c>
      <c r="F1" s="118" t="inlineStr">
        <is>
          <t>Amount</t>
        </is>
      </c>
      <c r="G1" s="118" t="inlineStr">
        <is>
          <t>Unit</t>
        </is>
      </c>
      <c r="H1" s="118" t="inlineStr">
        <is>
          <t>Grams</t>
        </is>
      </c>
      <c r="I1" s="118" t="inlineStr">
        <is>
          <t>MatchStatus</t>
        </is>
      </c>
      <c r="J1" s="118" t="inlineStr">
        <is>
          <t>MatchConfidence</t>
        </is>
      </c>
      <c r="K1" s="118" t="inlineStr">
        <is>
          <t>kcal</t>
        </is>
      </c>
      <c r="L1" s="118" t="inlineStr">
        <is>
          <t>Protein_g</t>
        </is>
      </c>
      <c r="M1" s="118" t="inlineStr">
        <is>
          <t>Carbs_g</t>
        </is>
      </c>
      <c r="N1" s="118" t="inlineStr">
        <is>
          <t>Fat_g</t>
        </is>
      </c>
      <c r="O1" s="118" t="inlineStr">
        <is>
          <t>Fibre_g</t>
        </is>
      </c>
      <c r="P1" s="118" t="inlineStr">
        <is>
          <t>Sodium_mg</t>
        </is>
      </c>
      <c r="Q1" s="118" t="inlineStr">
        <is>
          <t>Notes</t>
        </is>
      </c>
      <c r="R1" s="118" t="inlineStr">
        <is>
          <t>UpdatedAt</t>
        </is>
      </c>
    </row>
    <row r="2">
      <c r="A2" s="70" t="n"/>
      <c r="B2" s="70" t="n"/>
      <c r="C2" s="70" t="n"/>
      <c r="D2" s="70" t="n"/>
      <c r="E2" s="70" t="n"/>
      <c r="F2" s="70" t="n"/>
      <c r="G2" s="70" t="n"/>
      <c r="H2" s="70" t="n"/>
      <c r="I2" s="70" t="n"/>
      <c r="J2" s="70" t="n"/>
      <c r="K2" s="70" t="n"/>
      <c r="L2" s="70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5"/>
  <cols>
    <col width="15" customWidth="1" style="91" min="1" max="1"/>
    <col width="15" customWidth="1" style="91" min="2" max="2"/>
    <col width="15" customWidth="1" style="91" min="3" max="3"/>
    <col width="15" customWidth="1" style="91" min="4" max="4"/>
    <col width="15" customWidth="1" style="91" min="5" max="5"/>
    <col width="24" customWidth="1" style="91" min="6" max="6"/>
    <col width="15" customWidth="1" style="91" min="7" max="7"/>
    <col width="15" customWidth="1" style="91" min="8" max="8"/>
    <col width="15" customWidth="1" style="91" min="9" max="9"/>
    <col width="15" customWidth="1" style="91" min="10" max="10"/>
    <col width="24" customWidth="1" style="91" min="11" max="11"/>
    <col width="24" customWidth="1" style="91" min="12" max="12"/>
    <col width="15" customWidth="1" style="91" min="13" max="13"/>
  </cols>
  <sheetData>
    <row r="1" ht="30" customHeight="1" s="91">
      <c r="A1" s="22" t="inlineStr">
        <is>
          <t>SessionLogID</t>
        </is>
      </c>
      <c r="B1" s="174" t="inlineStr">
        <is>
          <t>Date</t>
        </is>
      </c>
      <c r="C1" s="22" t="inlineStr">
        <is>
          <t>ProgramID</t>
        </is>
      </c>
      <c r="D1" s="22" t="inlineStr">
        <is>
          <t>ProgramName</t>
        </is>
      </c>
      <c r="E1" s="22" t="inlineStr">
        <is>
          <t>SessionID</t>
        </is>
      </c>
      <c r="F1" s="22" t="inlineStr">
        <is>
          <t>SessionName</t>
        </is>
      </c>
      <c r="G1" s="22" t="inlineStr">
        <is>
          <t>StartTime</t>
        </is>
      </c>
      <c r="H1" s="22" t="inlineStr">
        <is>
          <t>EndTime</t>
        </is>
      </c>
      <c r="I1" s="22" t="inlineStr">
        <is>
          <t>DurationMin</t>
        </is>
      </c>
      <c r="J1" s="22" t="inlineStr">
        <is>
          <t>BodyWeightKg</t>
        </is>
      </c>
      <c r="K1" s="22" t="inlineStr">
        <is>
          <t>Notes</t>
        </is>
      </c>
      <c r="L1" s="22" t="inlineStr">
        <is>
          <t>Completed</t>
        </is>
      </c>
      <c r="M1" s="22" t="inlineStr">
        <is>
          <t>UpdatedAt</t>
        </is>
      </c>
    </row>
    <row r="2">
      <c r="A2" s="70" t="n"/>
      <c r="B2" s="70" t="n"/>
      <c r="C2" s="70" t="n"/>
      <c r="D2" s="70" t="n"/>
      <c r="E2" s="70" t="n"/>
      <c r="F2" s="70" t="n"/>
      <c r="G2" s="70" t="n"/>
      <c r="H2" s="70" t="n"/>
      <c r="I2" s="70" t="n"/>
      <c r="J2" s="70" t="n"/>
      <c r="K2" s="70" t="n"/>
      <c r="L2" s="70" t="n"/>
      <c r="M2" s="70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selection activeCell="A1" sqref="A1"/>
    </sheetView>
  </sheetViews>
  <sheetFormatPr baseColWidth="8" defaultRowHeight="15"/>
  <cols>
    <col width="15" customWidth="1" style="91" min="1" max="1"/>
    <col width="15" customWidth="1" style="91" min="2" max="2"/>
    <col width="15" customWidth="1" style="91" min="3" max="3"/>
    <col width="15" customWidth="1" style="91" min="4" max="4"/>
    <col width="15" customWidth="1" style="91" min="5" max="5"/>
    <col width="24" customWidth="1" style="91" min="6" max="6"/>
    <col width="15" customWidth="1" style="91" min="7" max="7"/>
    <col width="15" customWidth="1" style="91" min="8" max="8"/>
    <col width="15" customWidth="1" style="91" min="9" max="9"/>
    <col width="15" customWidth="1" style="91" min="10" max="10"/>
    <col width="24" customWidth="1" style="91" min="11" max="11"/>
    <col width="24" customWidth="1" style="91" min="12" max="12"/>
    <col width="15" customWidth="1" style="91" min="13" max="13"/>
    <col width="15" customWidth="1" style="91" min="14" max="14"/>
    <col width="15" customWidth="1" style="91" min="15" max="15"/>
    <col width="24" customWidth="1" style="91" min="16" max="16"/>
    <col width="15" customWidth="1" style="91" min="17" max="17"/>
  </cols>
  <sheetData>
    <row r="1" ht="30" customHeight="1" s="91">
      <c r="A1" s="22" t="inlineStr">
        <is>
          <t>SetLogID</t>
        </is>
      </c>
      <c r="B1" s="22" t="inlineStr">
        <is>
          <t>SessionLogID</t>
        </is>
      </c>
      <c r="C1" s="174" t="inlineStr">
        <is>
          <t>Date</t>
        </is>
      </c>
      <c r="D1" s="22" t="inlineStr">
        <is>
          <t>ProgramID</t>
        </is>
      </c>
      <c r="E1" s="22" t="inlineStr">
        <is>
          <t>SessionName</t>
        </is>
      </c>
      <c r="F1" s="22" t="inlineStr">
        <is>
          <t>ExerciseID</t>
        </is>
      </c>
      <c r="G1" s="22" t="inlineStr">
        <is>
          <t>Exercise</t>
        </is>
      </c>
      <c r="H1" s="22" t="inlineStr">
        <is>
          <t>SetNo</t>
        </is>
      </c>
      <c r="I1" s="22" t="inlineStr">
        <is>
          <t>Warmup</t>
        </is>
      </c>
      <c r="J1" s="22" t="inlineStr">
        <is>
          <t>WeightKg</t>
        </is>
      </c>
      <c r="K1" s="22" t="inlineStr">
        <is>
          <t>Reps</t>
        </is>
      </c>
      <c r="L1" s="22" t="inlineStr">
        <is>
          <t>RIR</t>
        </is>
      </c>
      <c r="M1" s="22" t="inlineStr">
        <is>
          <t>RestSec</t>
        </is>
      </c>
      <c r="N1" s="22" t="inlineStr">
        <is>
          <t>VolumeKg</t>
        </is>
      </c>
      <c r="O1" s="22" t="inlineStr">
        <is>
          <t>Estimated1RM</t>
        </is>
      </c>
      <c r="P1" s="22" t="inlineStr">
        <is>
          <t>Notes</t>
        </is>
      </c>
      <c r="Q1" s="22" t="inlineStr">
        <is>
          <t>UpdatedAt</t>
        </is>
      </c>
    </row>
    <row r="2">
      <c r="A2" s="70" t="n"/>
      <c r="B2" s="70" t="n"/>
      <c r="C2" s="70" t="n"/>
      <c r="D2" s="70" t="n"/>
      <c r="E2" s="70" t="n"/>
      <c r="F2" s="70" t="n"/>
      <c r="G2" s="70" t="n"/>
      <c r="H2" s="70" t="n"/>
      <c r="I2" s="70" t="n"/>
      <c r="J2" s="70" t="n"/>
      <c r="K2" s="70" t="n"/>
      <c r="L2" s="70" t="n"/>
      <c r="M2" s="70" t="n"/>
      <c r="N2" s="70" t="n"/>
      <c r="O2" s="70" t="n"/>
      <c r="P2" s="70" t="n"/>
      <c r="Q2" s="70" t="n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5"/>
  <cols>
    <col width="15" customWidth="1" style="91" min="1" max="1"/>
    <col width="15" customWidth="1" style="91" min="2" max="2"/>
    <col width="15" customWidth="1" style="91" min="3" max="3"/>
    <col width="15" customWidth="1" style="91" min="4" max="4"/>
    <col width="15" customWidth="1" style="91" min="5" max="5"/>
    <col width="24" customWidth="1" style="91" min="6" max="6"/>
    <col width="15" customWidth="1" style="91" min="7" max="7"/>
    <col width="15" customWidth="1" style="91" min="8" max="8"/>
    <col width="15" customWidth="1" style="91" min="9" max="9"/>
    <col width="15" customWidth="1" style="91" min="10" max="10"/>
    <col width="24" customWidth="1" style="91" min="11" max="11"/>
    <col width="24" customWidth="1" style="91" min="12" max="12"/>
    <col width="15" customWidth="1" style="91" min="13" max="13"/>
  </cols>
  <sheetData>
    <row r="1" ht="30" customHeight="1" s="91">
      <c r="A1" s="22" t="inlineStr">
        <is>
          <t>FoodLogID</t>
        </is>
      </c>
      <c r="B1" s="174" t="inlineStr">
        <is>
          <t>Date</t>
        </is>
      </c>
      <c r="C1" s="22" t="inlineStr">
        <is>
          <t>Meal</t>
        </is>
      </c>
      <c r="D1" s="22" t="inlineStr">
        <is>
          <t>RecipeID</t>
        </is>
      </c>
      <c r="E1" s="22" t="inlineStr">
        <is>
          <t>RecipeName</t>
        </is>
      </c>
      <c r="F1" s="22" t="inlineStr">
        <is>
          <t>ItemName</t>
        </is>
      </c>
      <c r="G1" s="22" t="inlineStr">
        <is>
          <t>Servings</t>
        </is>
      </c>
      <c r="H1" s="22" t="inlineStr">
        <is>
          <t>kcal</t>
        </is>
      </c>
      <c r="I1" s="22" t="inlineStr">
        <is>
          <t>Protein_g</t>
        </is>
      </c>
      <c r="J1" s="22" t="inlineStr">
        <is>
          <t>Carbs_g</t>
        </is>
      </c>
      <c r="K1" s="22" t="inlineStr">
        <is>
          <t>Fat_g</t>
        </is>
      </c>
      <c r="L1" s="22" t="inlineStr">
        <is>
          <t>Notes</t>
        </is>
      </c>
      <c r="M1" s="22" t="inlineStr">
        <is>
          <t>UpdatedAt</t>
        </is>
      </c>
    </row>
    <row r="2">
      <c r="A2" s="70" t="n"/>
      <c r="B2" s="70" t="n"/>
      <c r="C2" s="70" t="n"/>
      <c r="D2" s="70" t="n"/>
      <c r="E2" s="70" t="n"/>
      <c r="F2" s="70" t="n"/>
      <c r="G2" s="70" t="n"/>
      <c r="H2" s="70" t="n"/>
      <c r="I2" s="70" t="n"/>
      <c r="J2" s="70" t="n"/>
      <c r="K2" s="70" t="n"/>
      <c r="L2" s="70" t="n"/>
      <c r="M2" s="70" t="n"/>
    </row>
  </sheetData>
  <dataValidations count="1">
    <dataValidation sqref="C2:C5000" showDropDown="0" showInputMessage="0" showErrorMessage="0" allowBlank="0" type="list">
      <formula1>"Breakfast,Lunch,Dinner,Snack,Post-workout"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cols>
    <col width="15" customWidth="1" style="91" min="1" max="1"/>
    <col width="15" customWidth="1" style="91" min="2" max="2"/>
    <col width="15" customWidth="1" style="91" min="3" max="3"/>
    <col width="15" customWidth="1" style="91" min="4" max="4"/>
    <col width="15" customWidth="1" style="91" min="5" max="5"/>
    <col width="24" customWidth="1" style="91" min="6" max="6"/>
    <col width="15" customWidth="1" style="91" min="7" max="7"/>
    <col width="15" customWidth="1" style="91" min="8" max="8"/>
    <col width="15" customWidth="1" style="91" min="9" max="9"/>
    <col width="15" customWidth="1" style="91" min="10" max="10"/>
    <col width="24" customWidth="1" style="91" min="11" max="11"/>
    <col width="24" customWidth="1" style="91" min="12" max="12"/>
  </cols>
  <sheetData>
    <row r="1" ht="30" customHeight="1" s="91">
      <c r="A1" s="22" t="inlineStr">
        <is>
          <t>MetricID</t>
        </is>
      </c>
      <c r="B1" s="174" t="inlineStr">
        <is>
          <t>Date</t>
        </is>
      </c>
      <c r="C1" s="22" t="inlineStr">
        <is>
          <t>WeightKg</t>
        </is>
      </c>
      <c r="D1" s="22" t="inlineStr">
        <is>
          <t>WaistCm</t>
        </is>
      </c>
      <c r="E1" s="22" t="inlineStr">
        <is>
          <t>ChestCm</t>
        </is>
      </c>
      <c r="F1" s="22" t="inlineStr">
        <is>
          <t>HipsCm</t>
        </is>
      </c>
      <c r="G1" s="22" t="inlineStr">
        <is>
          <t>ArmCm</t>
        </is>
      </c>
      <c r="H1" s="22" t="inlineStr">
        <is>
          <t>ThighCm</t>
        </is>
      </c>
      <c r="I1" s="22" t="inlineStr">
        <is>
          <t>BodyFatPct</t>
        </is>
      </c>
      <c r="J1" s="22" t="inlineStr">
        <is>
          <t>RestingHR</t>
        </is>
      </c>
      <c r="K1" s="22" t="inlineStr">
        <is>
          <t>Notes</t>
        </is>
      </c>
      <c r="L1" s="22" t="inlineStr">
        <is>
          <t>UpdatedAt</t>
        </is>
      </c>
    </row>
    <row r="2">
      <c r="A2" s="70" t="n"/>
      <c r="B2" s="70" t="n"/>
      <c r="C2" s="70" t="n"/>
      <c r="D2" s="70" t="n"/>
      <c r="E2" s="70" t="n"/>
      <c r="F2" s="70" t="n"/>
      <c r="G2" s="70" t="n"/>
      <c r="H2" s="70" t="n"/>
      <c r="I2" s="70" t="n"/>
      <c r="J2" s="70" t="n"/>
      <c r="K2" s="70" t="n"/>
      <c r="L2" s="70" t="n"/>
    </row>
  </sheetData>
  <conditionalFormatting sqref="C2:C2000">
    <cfRule type="dataBar" priority="1">
      <dataBar>
        <cfvo type="min"/>
        <cfvo type="max"/>
        <color rgb="FFA02B93"/>
      </dataBar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cols>
    <col width="15" customWidth="1" style="91" min="1" max="1"/>
    <col width="15" customWidth="1" style="91" min="2" max="2"/>
    <col width="15" customWidth="1" style="91" min="3" max="3"/>
    <col width="15" customWidth="1" style="91" min="4" max="4"/>
    <col width="15" customWidth="1" style="91" min="5" max="5"/>
    <col width="24" customWidth="1" style="91" min="6" max="6"/>
    <col width="15" customWidth="1" style="91" min="7" max="7"/>
    <col width="15" customWidth="1" style="91" min="8" max="8"/>
    <col width="15" customWidth="1" style="91" min="9" max="9"/>
    <col width="15" customWidth="1" style="91" min="10" max="10"/>
    <col width="24" customWidth="1" style="91" min="11" max="11"/>
    <col width="24" customWidth="1" style="91" min="12" max="12"/>
  </cols>
  <sheetData>
    <row r="1" ht="30" customHeight="1" s="91">
      <c r="A1" s="22" t="inlineStr">
        <is>
          <t>CheckinID</t>
        </is>
      </c>
      <c r="B1" s="174" t="inlineStr">
        <is>
          <t>Date</t>
        </is>
      </c>
      <c r="C1" s="22" t="inlineStr">
        <is>
          <t>Steps</t>
        </is>
      </c>
      <c r="D1" s="22" t="inlineStr">
        <is>
          <t>SleepHrs</t>
        </is>
      </c>
      <c r="E1" s="22" t="inlineStr">
        <is>
          <t>WaterMl</t>
        </is>
      </c>
      <c r="F1" s="22" t="inlineStr">
        <is>
          <t>Hunger1to5</t>
        </is>
      </c>
      <c r="G1" s="22" t="inlineStr">
        <is>
          <t>Energy1to5</t>
        </is>
      </c>
      <c r="H1" s="22" t="inlineStr">
        <is>
          <t>Stress1to5</t>
        </is>
      </c>
      <c r="I1" s="22" t="inlineStr">
        <is>
          <t>DietAdherencePct</t>
        </is>
      </c>
      <c r="J1" s="22" t="inlineStr">
        <is>
          <t>TrainingReadiness1to5</t>
        </is>
      </c>
      <c r="K1" s="22" t="inlineStr">
        <is>
          <t>Notes</t>
        </is>
      </c>
      <c r="L1" s="22" t="inlineStr">
        <is>
          <t>UpdatedAt</t>
        </is>
      </c>
    </row>
    <row r="2">
      <c r="A2" s="70" t="n"/>
      <c r="B2" s="70" t="n"/>
      <c r="C2" s="70" t="n"/>
      <c r="D2" s="70" t="n"/>
      <c r="E2" s="70" t="n"/>
      <c r="F2" s="70" t="n"/>
      <c r="G2" s="70" t="n"/>
      <c r="H2" s="70" t="n"/>
      <c r="I2" s="70" t="n"/>
      <c r="J2" s="70" t="n"/>
      <c r="K2" s="70" t="n"/>
      <c r="L2" s="70" t="n"/>
    </row>
  </sheetData>
  <conditionalFormatting sqref="I2:I1000">
    <cfRule type="colorScale" priority="1">
      <colorScale>
        <cfvo type="min"/>
        <cfvo type="percentile" val="50"/>
        <cfvo type="max"/>
        <color rgb="FFFECACA"/>
        <color rgb="FFFEF3C7"/>
        <color rgb="FFDCFCE7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5"/>
  <cols>
    <col width="15" customWidth="1" style="91" min="1" max="1"/>
    <col width="15" customWidth="1" style="91" min="2" max="2"/>
    <col width="15" customWidth="1" style="91" min="3" max="3"/>
    <col width="15" customWidth="1" style="91" min="4" max="4"/>
    <col width="15" customWidth="1" style="91" min="5" max="5"/>
    <col width="24" customWidth="1" style="91" min="6" max="6"/>
    <col width="15" customWidth="1" style="91" min="7" max="7"/>
    <col width="15" customWidth="1" style="91" min="8" max="8"/>
    <col width="15" customWidth="1" style="91" min="9" max="9"/>
    <col width="15" customWidth="1" style="91" min="10" max="10"/>
    <col width="24" customWidth="1" style="91" min="11" max="11"/>
    <col width="24" customWidth="1" style="91" min="12" max="12"/>
    <col width="15" customWidth="1" style="91" min="13" max="13"/>
  </cols>
  <sheetData>
    <row r="1" ht="30" customHeight="1" s="91">
      <c r="A1" s="22" t="inlineStr">
        <is>
          <t>PhaseID</t>
        </is>
      </c>
      <c r="B1" s="22" t="inlineStr">
        <is>
          <t>Name</t>
        </is>
      </c>
      <c r="C1" s="22" t="inlineStr">
        <is>
          <t>Mode</t>
        </is>
      </c>
      <c r="D1" s="174" t="inlineStr">
        <is>
          <t>StartDate</t>
        </is>
      </c>
      <c r="E1" s="174" t="inlineStr">
        <is>
          <t>PlannedEndDate</t>
        </is>
      </c>
      <c r="F1" s="174" t="inlineStr">
        <is>
          <t>ActualEndDate</t>
        </is>
      </c>
      <c r="G1" s="22" t="inlineStr">
        <is>
          <t>StartWeightKg</t>
        </is>
      </c>
      <c r="H1" s="22" t="inlineStr">
        <is>
          <t>EndWeightKg</t>
        </is>
      </c>
      <c r="I1" s="22" t="inlineStr">
        <is>
          <t>TargetLossKg</t>
        </is>
      </c>
      <c r="J1" s="22" t="inlineStr">
        <is>
          <t>Status</t>
        </is>
      </c>
      <c r="K1" s="22" t="inlineStr">
        <is>
          <t>RefeedPlan</t>
        </is>
      </c>
      <c r="L1" s="22" t="inlineStr">
        <is>
          <t>Notes</t>
        </is>
      </c>
      <c r="M1" s="22" t="inlineStr">
        <is>
          <t>UpdatedAt</t>
        </is>
      </c>
    </row>
    <row r="2">
      <c r="A2" s="70" t="n"/>
      <c r="B2" s="70" t="n"/>
      <c r="C2" s="70" t="n"/>
      <c r="D2" s="70" t="n"/>
      <c r="E2" s="70" t="n"/>
      <c r="F2" s="70" t="n"/>
      <c r="G2" s="70" t="n"/>
      <c r="H2" s="70" t="n"/>
      <c r="I2" s="70" t="n"/>
      <c r="J2" s="70" t="n"/>
      <c r="K2" s="70" t="n"/>
      <c r="L2" s="70" t="n"/>
      <c r="M2" s="70" t="n"/>
    </row>
  </sheetData>
  <dataValidations count="1">
    <dataValidation sqref="J2:J1000" showDropDown="0" showInputMessage="0" showErrorMessage="0" allowBlank="0" type="list">
      <formula1>"Active,Completed,Planned"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5" customWidth="1" style="91" min="1" max="1"/>
    <col width="15" customWidth="1" style="91" min="2" max="2"/>
    <col width="15" customWidth="1" style="91" min="3" max="3"/>
    <col width="15" customWidth="1" style="91" min="4" max="4"/>
    <col width="15" customWidth="1" style="91" min="5" max="5"/>
    <col width="24" customWidth="1" style="91" min="6" max="6"/>
    <col width="15" customWidth="1" style="91" min="7" max="7"/>
    <col width="15" customWidth="1" style="91" min="8" max="8"/>
    <col width="15" customWidth="1" style="91" min="9" max="9"/>
    <col width="15" customWidth="1" style="91" min="10" max="10"/>
  </cols>
  <sheetData>
    <row r="1" ht="30" customHeight="1" s="91">
      <c r="A1" s="22" t="inlineStr">
        <is>
          <t>CardioID</t>
        </is>
      </c>
      <c r="B1" s="174" t="inlineStr">
        <is>
          <t>Date</t>
        </is>
      </c>
      <c r="C1" s="22" t="inlineStr">
        <is>
          <t>Type</t>
        </is>
      </c>
      <c r="D1" s="22" t="inlineStr">
        <is>
          <t>DurationMin</t>
        </is>
      </c>
      <c r="E1" s="22" t="inlineStr">
        <is>
          <t>DistanceKm</t>
        </is>
      </c>
      <c r="F1" s="22" t="inlineStr">
        <is>
          <t>AvgHR</t>
        </is>
      </c>
      <c r="G1" s="22" t="inlineStr">
        <is>
          <t>Intensity</t>
        </is>
      </c>
      <c r="H1" s="22" t="inlineStr">
        <is>
          <t>Steps</t>
        </is>
      </c>
      <c r="I1" s="22" t="inlineStr">
        <is>
          <t>Notes</t>
        </is>
      </c>
      <c r="J1" s="22" t="inlineStr">
        <is>
          <t>UpdatedAt</t>
        </is>
      </c>
    </row>
    <row r="2">
      <c r="A2" s="70" t="n"/>
      <c r="B2" s="70" t="n"/>
      <c r="C2" s="70" t="n"/>
      <c r="D2" s="70" t="n"/>
      <c r="E2" s="70" t="n"/>
      <c r="F2" s="70" t="n"/>
      <c r="G2" s="70" t="n"/>
      <c r="H2" s="70" t="n"/>
      <c r="I2" s="70" t="n"/>
      <c r="J2" s="70" t="n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6.75" customWidth="1" style="91" min="1" max="1"/>
    <col width="4.130000114440918" customWidth="1" style="91" min="2" max="2"/>
    <col width="4.25" customWidth="1" style="91" min="3" max="3"/>
    <col width="8" customWidth="1" style="91" min="4" max="4"/>
    <col width="8.880000114440918" customWidth="1" style="91" min="5" max="5"/>
  </cols>
  <sheetData>
    <row r="1" ht="30" customHeight="1" s="91">
      <c r="A1" s="22" t="inlineStr">
        <is>
          <t>PhotoID</t>
        </is>
      </c>
      <c r="B1" s="174" t="inlineStr">
        <is>
          <t>Date</t>
        </is>
      </c>
      <c r="C1" s="22" t="inlineStr">
        <is>
          <t>Note</t>
        </is>
      </c>
      <c r="D1" s="22" t="inlineStr">
        <is>
          <t>LocalOnly</t>
        </is>
      </c>
      <c r="E1" s="22" t="inlineStr">
        <is>
          <t>UpdatedAt</t>
        </is>
      </c>
    </row>
    <row r="2">
      <c r="A2" s="70" t="n"/>
      <c r="B2" s="70" t="n"/>
      <c r="C2" s="70" t="n"/>
      <c r="D2" s="70" t="n"/>
      <c r="E2" s="70" t="n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4" customWidth="1" style="91" min="1" max="1"/>
    <col width="44" customWidth="1" style="91" min="2" max="2"/>
    <col width="66" customWidth="1" style="91" min="3" max="3"/>
  </cols>
  <sheetData>
    <row r="1" ht="30" customHeight="1" s="91">
      <c r="A1" s="118" t="inlineStr">
        <is>
          <t>Field</t>
        </is>
      </c>
      <c r="B1" s="118" t="inlineStr">
        <is>
          <t>Value</t>
        </is>
      </c>
      <c r="C1" s="118" t="inlineStr">
        <is>
          <t>Notes</t>
        </is>
      </c>
    </row>
    <row r="2">
      <c r="A2" s="133" t="inlineStr">
        <is>
          <t>AppVersion</t>
        </is>
      </c>
      <c r="B2" s="134" t="inlineStr">
        <is>
          <t>2.3.8</t>
        </is>
      </c>
      <c r="C2" s="135" t="inlineStr">
        <is>
          <t>Backend/app version</t>
        </is>
      </c>
    </row>
    <row r="3">
      <c r="A3" s="136" t="inlineStr">
        <is>
          <t>SchemaVersion</t>
        </is>
      </c>
      <c r="B3" s="144" t="n">
        <v>4</v>
      </c>
      <c r="C3" s="138" t="inlineStr">
        <is>
          <t>Database schema</t>
        </is>
      </c>
    </row>
    <row r="4">
      <c r="A4" s="136" t="inlineStr">
        <is>
          <t>SpreadsheetID</t>
        </is>
      </c>
      <c r="B4" s="144" t="n"/>
      <c r="C4" s="138" t="inlineStr">
        <is>
          <t>Filled by Apps Script setup</t>
        </is>
      </c>
    </row>
    <row r="5">
      <c r="A5" s="136" t="inlineStr">
        <is>
          <t>PrivateSyncKey</t>
        </is>
      </c>
      <c r="B5" s="144" t="n"/>
      <c r="C5" s="138" t="inlineStr">
        <is>
          <t>Generated by Apps Script setup; keep private</t>
        </is>
      </c>
    </row>
    <row r="6">
      <c r="A6" s="136" t="inlineStr">
        <is>
          <t>WebAppURL</t>
        </is>
      </c>
      <c r="B6" s="144" t="n"/>
      <c r="C6" s="138" t="inlineStr">
        <is>
          <t>Paste the deployed /exec URL here for reference</t>
        </is>
      </c>
    </row>
    <row r="7">
      <c r="A7" s="136" t="inlineStr">
        <is>
          <t>CloudRevision</t>
        </is>
      </c>
      <c r="B7" s="144" t="n">
        <v>0</v>
      </c>
      <c r="C7" s="138" t="inlineStr">
        <is>
          <t>Server-assigned revision</t>
        </is>
      </c>
    </row>
    <row r="8">
      <c r="A8" s="136" t="inlineStr">
        <is>
          <t>LastPushAt</t>
        </is>
      </c>
      <c r="B8" s="144" t="n"/>
      <c r="C8" s="138" t="inlineStr">
        <is>
          <t>Most recent successful phone push</t>
        </is>
      </c>
    </row>
    <row r="9">
      <c r="A9" s="136" t="inlineStr">
        <is>
          <t>LastRequestID</t>
        </is>
      </c>
      <c r="B9" s="144" t="n"/>
      <c r="C9" s="138" t="inlineStr">
        <is>
          <t>Most recent POST request</t>
        </is>
      </c>
    </row>
    <row r="10">
      <c r="A10" s="136" t="inlineStr">
        <is>
          <t>LastStatus</t>
        </is>
      </c>
      <c r="B10" s="144" t="n"/>
      <c r="C10" s="138" t="inlineStr">
        <is>
          <t>Most recent POST result</t>
        </is>
      </c>
    </row>
    <row r="11">
      <c r="A11" s="140" t="inlineStr">
        <is>
          <t>LastError</t>
        </is>
      </c>
      <c r="B11" s="162" t="n"/>
      <c r="C11" s="142" t="inlineStr">
        <is>
          <t>Most recent POST error</t>
        </is>
      </c>
    </row>
    <row r="12">
      <c r="A12" s="144" t="inlineStr">
        <is>
          <t>USDA_API_Key_Status</t>
        </is>
      </c>
      <c r="B12" s="144" t="inlineStr">
        <is>
          <t>Using USDA DEMO_KEY</t>
        </is>
      </c>
      <c r="C12" s="144" t="inlineStr">
        <is>
          <t>Personal keys are stored privately in Apps Script properties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0" customWidth="1" style="91" min="1" max="1"/>
    <col width="100" customWidth="1" style="91" min="2" max="2"/>
    <col width="10" customWidth="1" style="91" min="3" max="3"/>
    <col width="20" customWidth="1" style="91" min="4" max="4"/>
    <col width="18" customWidth="1" style="91" min="5" max="5"/>
    <col width="18" customWidth="1" style="91" min="6" max="6"/>
    <col width="42" customWidth="1" style="91" min="7" max="7"/>
  </cols>
  <sheetData>
    <row r="1" ht="30" customHeight="1" s="91">
      <c r="A1" s="118" t="inlineStr">
        <is>
          <t>ChunkNo</t>
        </is>
      </c>
      <c r="B1" s="118" t="inlineStr">
        <is>
          <t>StateChunk</t>
        </is>
      </c>
      <c r="C1" s="118" t="inlineStr">
        <is>
          <t>Revision</t>
        </is>
      </c>
      <c r="D1" s="118" t="inlineStr">
        <is>
          <t>UpdatedAt</t>
        </is>
      </c>
      <c r="E1" s="118" t="inlineStr">
        <is>
          <t>LastRequestID</t>
        </is>
      </c>
      <c r="F1" s="118" t="inlineStr">
        <is>
          <t>LastStatus</t>
        </is>
      </c>
      <c r="G1" s="118" t="inlineStr">
        <is>
          <t>LastError</t>
        </is>
      </c>
    </row>
    <row r="2">
      <c r="A2" s="133" t="n">
        <v>1</v>
      </c>
      <c r="B2" s="134" t="inlineStr">
        <is>
          <t>{"version":2,"schemaVersion":4,"createdFor":"","meta":{"appVersion":"2.3.0","revision":0,"lastModifiedAt":"2026-07-19T20:55:00.000Z","lastCloudSyncAt":"","lastCloudRevision":0,"clientId":""},"settings":{"profileName":"","age":"","heightCm":"","targetWeightKg":"","activeProgram":"UL4","dietMode":"Normal / moderate deficit","normalCalorieTarget":2200,"normalProteinTarget":170,"normalCarbTarget":180,"normalFatTarget":70,"rflCalorieTarget":"","rflProteinTarget":"","rflCarbTarget":"","rflFatTarget":"","stepsTarget":8000,"sleepTargetHrs":7.5,"waterTargetMl":2500,"noBellPeppers":false,"noShellfish":false,"lastSession":"UL4|lower-a","weekStartsMonday":true,"theme":"system","autoSync":false,"syncUrl":"","syncKey":"","availableEquipment":["Bodyweight / floor space","Power rack / squat stands","Barbell + plates","Adjustable bench","Adjustable dumbbells","Cable station / functional trainer","Pull-up bar","Gymnastic rings / suspension trainer","Calf raise platform / machine","Ankle strap","Rope cable attachment","Ab wheel"],"restTimerDefaultSec":120,"autoRestTimer":true,"restTimerSound":true,"autoAdvanceSets":true,"weightIncrementKg":2.5,"smallWeightIncrementKg":1,"trainView":"workout","dumbbellWeightIncrementKg":2,"customEquipment":[],"equipmentProfileName":"Custom home gym","recipeImportAutoMatch":true,"recipeImportPreferMetric":true,"foodReferenceSource":"USDA + Open Food Facts"},"programs":[{"id":"UL4","name":"Normal 4-day Upper/Lower","mode":"Normal / moderate deficit","sessions":[{"id":"lower-a","name":"Lower A","day":"Monday","exercises":[{"id":"ul4-lower-a-1","name":"High-bar back squat","sets":3,"reps":"6-8","rir":"1-2","notes":"Use controlled depth; substitute if back/knees complain.","order":1,"exerciseId":"EX001","restSec":150,"updatedAt":"2026-07-19T10:00:00.000Z"},{"id":"ul4-lower-a-2","name":"Romanian deadlift","sets":3,"reps":"6-8","rir":"1-2","notes":"Replace with hip thrust or cable pull-through if lower back is limiting.","order":2,"exerciseId":"EX008","restSec":150,"updatedAt":"2026-07-19T10:00:00.000Z"},{"id":"ul4-lower-a-3","name":"Bulgarian split squat","sets":2,"reps":"8-12 each leg","rir":"1-2","notes":"","order":3,"exerciseId":"EX006","restSec":90,"updatedAt":"2026-07-19T10:00:00.000Z"},{"id":"ul4-lower-a-4","name":"Cable leg curl","sets":2,"reps":"10-15","rir":"1-2","notes":"","order":4,"exerciseId":"EX012","restSec":90,"updatedAt":"2026-07-19T10:00:00.000Z"},{"id":"ul4-lower-a-5","name":"Standing calf raise","sets":3,"reps":"8-15","rir":"1-2","notes":"","order":5,"exerciseId":"EX013","restSec":90,"updatedAt":"2026-07-19T10:00:00.000Z"},{"id":"ul4-lower-a-6","name":"Dead bug or Pallof press","sets":2,"reps":"10-15","rir":"2","notes":"","order":6,"exerciseId":"EX124","restSec":90,"updatedAt":"2026-07-19T15:45:00.000Z"}],"order":1,"updatedAt":"2026-07-19T10:00:00.000Z","notes":""},{"id":"upper-a","name":"Upper A","day":"Tuesday","exercises":[{"id":"ul4-upper-a-1","name":"Barbell bench press","sets":3,"reps":"6-8","rir":"1-2","notes":"","order":1,"exerciseId":"EX014","restSec":150,"updatedAt":"2026-07-19T10:00:00.000Z"},{"id":"ul4-upper-a-2","name":"Chest-supported dumbbell row","sets":3,"reps":"6-10","rir":"1-2","notes":"Back-friendly row option.","order":2,"exerciseId":"EX023","restSec":150,"updatedAt":"2026-07-19T10:00:00.000Z"},{"id":"ul4-upper-a-3","name":"Incline dumbbell press","sets":2,"reps":"8-12","rir":"1-2","notes":"","order":3,"exerciseId":"EX016","restSec":90,"updatedAt":"2026-07-19T10:00:00.000Z"},{"id":"ul4-upper-a-4","name":"Cable lat pulldown or ring chin-up","sets":2,"reps":"8-12","rir":"1-2","notes":"","order":4,"exerciseId":"EX125","restSec":90,"updatedAt":"2026-07-19T15:45:00.000Z"},{"id":"ul4-upper-a-5","name":"Cable lateral raise","sets":3,"reps":"12-20","rir":"1","notes":"GVS-style controlled delt work.","order":5,"exerciseId":"EX033","restSec":90,"updatedAt":"2026-07-19T10:00:00.000Z"},{"id":"ul4-upper-a-6","name":"Cable triceps pushdown","sets":2,"reps":"10-15","rir":"1","notes":"","order":6,"exerciseId":"EX038","restSec":90,"updatedAt":"2026-07-19T10:00:00.000Z"},{"id":"ul4-upper-a-7","name":"Incline dumbbell or cable curl","sets":2,"reps":"10-15","rir":"1","notes":"","order":7,"exerciseId":"EX126","restSec":90,"updatedAt":"2026-07-19T15:45:00.000Z"}],"order":2,"updatedAt":"2026-07-19T10:00:00.000Z","notes":""},{"id":"lower-b","name":"Lower B","day":"Thursday","exercises":[{"id":"ul4-lower-b-1","name":"Front squat or heels-elevated squat","sets":3,"reps":"6-10","rir":"1-2","notes":"Choose the squat pattern that feels best.","order":1,"exerciseId":"EX127","restSec":150,"updatedAt":"2026-07-19T15:45:00.000Z"},{"id":"ul4-lower-b-2","name":"Barbell hip thrust","sets":3,"reps":"8-12","rir":"1-2","notes":"","order":2,"exerciseId":"EX010","restSec":150,"updatedAt":"2026-07-19T10:00:00.000Z"},{"id":"ul4-lower-b-3","name":"Reverse lunge","sets":2,"reps":"8-12 each leg","rir":"1-2","notes":"","order":3,"exerciseId":"EX007","restSec":90,"updatedAt":"2026-07-19T10:00:00.000Z"},{"id":"ul4-lower-b-4","name":"Cable leg curl","sets":2,"reps":"12-20","rir":"1-2","notes":"","order":4,"exerciseId":"EX012","restSec":90,"updatedAt":"2026-07-19T10:00:00.000Z"},{"id":"ul4-lower-b-5","name":"Standing calf raise","sets":3,"reps":"12-20","rir":"1-2","notes":"","order":5,"exerciseId":"EX013","restSec":90,"updatedAt":"2026-07-19T10:00:00.000Z"},{"id":"ul4-lower-b-6","name":"Ab wheel or cable crunch","sets":2,"reps":"8-15","rir":"1-2","notes":"","order":6,"exerciseId":"EX128","restSec":90,"updatedAt":"2026-07-19T15:45:00.000Z"}],"order":3,"updatedAt":"2026-07-19T10:00:00.000Z","notes":""},{"id":"upper-b","name":"Upper B","day":"Friday","exercises":[{"id":"ul4-upper-b-1","name":"Weighted chin-up or heavy pulldown","sets":3,"reps":"6-8","rir":"1-2","notes":"","order":1,"exerciseId":"EX129","restSec":150,"updatedAt":"2026-07-19T15:45:00.000Z"},{"id":"ul4-upper-b-2","name":"Seated dumbbell overhead press","sets":3,"reps":"6-10","rir":"1-2","notes":"","order":2,"exerciseId":"EX020","restSec":150,"updatedAt":"2026-07-19T10:00:00.000Z"},{"id":"ul4-upper-b-3","name":"One-arm cable row","sets":2,"reps":"8-12","rir":"1-2","notes":"","order":3,"exerciseId":"EX024","restSec":90,"updatedAt":"2026-07-19T10:00:00.000Z"},{"id":"ul4-upper-b-4","name":"Close-grip bench press or weighted ring push-up","sets":2,"reps":"8-12","rir":"1-2","notes":"","order":4,"exerciseId":"EX130","restSec":90,"updatedAt":"2026-07-19T15:45:00.000Z"},{"id":"ul4-upper-b-5","name":"Cable rear-delt fly or face pull","sets":3,"reps":"12-20","rir":"1","notes":"","order":5,"exerciseId":"EX131","restSec":90,"updatedAt":"2026-07-19T15:45:00.000Z"},{"id":"ul4-upper-b-6","name":"Cable lateral raise","sets":2,"reps":"12-20","rir":"1","notes":"","order":6,"exerciseId":"EX033","restSec":90,"updatedAt":"2026-07-19T10:00:00.000Z"},{"id":"ul4-upper-b-7","name":"Overhead cable triceps extension","sets":2,"reps":"10-15","rir":"1","notes":"","order":7,"exerciseId":"EX039","restSec":90,"updatedAt":"2026-07-19T10:00:00.000Z"},{"id":"ul4-upper-b-8","name":"Dumbbell hammer curl","sets":2,"reps":"10-15","rir":"1","notes":"","order":8,"exerciseId":"EX043","restSec":90,"updatedAt":"2026-07-19T10:00:00.000Z"}],"order":4,"updatedAt":"2026-07-19T10:00:00.000Z","notes":""}],"description":"Four-day upper/lower plan for normal dieting, maintenance, or slow fat loss.","active":true,"updatedAt":"2026-07-19T10:00:00.000Z"},{"id":"RFL2","name":"RFL 2-day Full Body","mode":"RFL / PSMF","sessions":[{"id":"rfl-full-body-a","name":"RFL Full Body A","day":"Monday","exercises":[{"id":"rfl2-rfl-full-body-a-1","name":"High-bar back squat","sets":2,"reps":"5-8","rir":"2-3","notes":"Preserve strength; no grinders.","order":1,"exerciseId":"EX001","restSec":90,"updatedAt":"2026-07-19T10:00:00.000Z"},{"id":"rfl2-rfl-full-body-a-2","name":"Barbell bench press","sets":2,"reps":"5-8","rir":"2-3","notes":"","order":2,"exerciseId":"EX014","restSec":90,"updatedAt":"2026-07-19T10:00:00.000Z"},{"id":"rfl2-rfl-full-body-a-3","name":"Chest-supported dumbbell row","sets":2,"reps":"6-10","rir":"2-3","notes":"","order":3,"exerciseId":"EX023","restSec":90,"updatedAt":"2026-07-19T10:00:00.000Z"},{"id":"rfl2-rfl-full-body-a-4","name":"Romanian deadlift or hip thrust","sets":2,"reps":"6-10","rir":"2-3","notes":"","order":4,"exerciseId":"EX132","restSec":90,"updatedAt":"2026-07-19T15:45:00.000Z"},{"id":"rfl2-rfl-full-body-a-5","name":"Cable lateral raise","sets":1,"reps":"12-20","rir":"2-3","notes":"","order":5,"exerciseId":"EX033","restSec":90,"updatedAt":"2026-07-19T10:00:00.000Z"},{"id":"rfl2-rfl-full-body-a-6","name":"Cable curl","sets":1,"reps":"10-15","rir":"2-3","notes":"","order":6,"exerciseId":"EX041","restSec":90,"updatedAt":"2026-07-19T10:00:00.000Z"},{"id":"rfl2-rfl-full-body-a-7","name":"Cable triceps pushdown","sets":1,"reps":"10-15","rir":"2-3","notes":"","order":7,"exerciseId":"EX038","restSec":90,"updatedAt":"2026-07-19T10:00:00.000Z"}],"order":1,"updatedAt":"2026-07-19T10:00:00.000Z","notes":""},{"id":"rfl-full-body-b","name":"RFL Full Body B","day":"Thursday","exercises":[{"id":"rfl2-rfl-full-body-b-1","name":"Front squat or Bulgarian split squat","sets":2,"reps":"6-10","rir":"2-3","notes":"","order":1,"exerciseId":"EX133","restSec":90,"updatedAt":"2026-07-19T15:45:00.000Z"},{"id":"rfl2-rfl-full-body-b-2","name":"Incline dumbbell or seated dumbbell press","sets":2,"reps":"6-10","rir":"2-3","notes":"","order":2,"exerciseId":"EX022","restSec":90,"updatedAt":"2026-07-19T10:00:00.000Z"},{"id":"rfl2-rfl-full-body-b-3","name":"Pulldown or chin-up","sets":2,"reps":"6-10","rir":"2-3","notes":"","order":3,"exerciseId":"EX134","restSec":90,"updatedAt":"2026-07-19T15:45:00.000Z"},{"id":"rfl2-rfl-full-body-b-4","name":"Hip thrust or cable leg curl","sets":2,"reps":"8-12","rir":"2-3","notes":"","order":4,"exerciseId":"EX135","restSec":90,"updatedAt":"2026-07-19T15:45:00.000Z"},{"id":"rfl2-rfl-full-body-b-5","name":"Rear-delt cable fly","sets":1,"reps":"12-20","rir":"2-3","notes":"","order":5,"exerciseId":"EX037","restSec":90,"updatedAt":"2026-07-19T10:00:00.000Z"},{"id":"rfl2-rfl-full-body-b-6","name":"Hammer curl","sets":1,"reps":"10-15","rir":"2-3","notes":"","order":6,"exerciseId":"EX136","restSec":90,"updatedAt":"2026-07-19T15:45:00.000Z"},{"id":"rfl2-rfl-full-body-b-7","name":"Overhead triceps extension","sets":1,"reps":"10-15","rir":"2-3","notes":"","order":7,"exerciseId":"EX137","restSec":90,"updatedAt":"2026-07-19T15:45:00.000Z"}],"order":2,"updatedAt":"2026-07-19T10:00:00.000Z","notes":""}],"description":"Two-day low-volume full-body plan for RFL blocks; preserve strength rather than chase fatigue.","active":true,"updatedAt":"2026-07-19T10:00:00.000Z"},{"id":"GVS_EXTRA","name":"Optional GVS-style Delts/Arms","mode":"Optional only outside RFL","sessions":[{"id":"delts-arms","name":"Delts/Arms","day":"Saturday","exercises":[{"id":"gvs_extra-delts-arms-1","name":"Cable lateral raise","sets":3,"reps":"15-25","rir":"0-1 on final safe set","notes":"Only if recovered; skip during RFL.","order":1,"exerciseId":"EX033","restSec":90,"updatedAt":"2026-07-19T10:00:00.000Z"},{"id":"gvs_extra-delts-arms-2","name":"Cable rear-delt fly","sets":3,"reps":"15-25","rir":"0-1 on final safe set","notes":"","order":2,"exerciseId":"EX035","restSec":90,"updatedAt":"2026-07-19T10:00:00.000Z"},{"id":"gvs_extra-delts-arms-3","name":"Cable or ring curl","sets":2,"reps":"10-15","rir":"1","notes":"","order":3,"exerciseId":"EX045","restSec":90,"updatedAt":"2026-07-19T10:00:00.000Z"},{"id":"gvs_extra-delts-arms-4","name":"Overhead cable triceps extension","sets":2,"reps":"10-15","rir":"1","notes":"","order":4,"exerciseId":"EX039","restSec":90,"updatedAt":"2026-07-19T10:00:00.000Z"},{"id":"gvs_extra-delts-arms-5","name":"Standing calf raise","sets":3,"reps":"12-20","rir":"1","notes":"","order":5,"exerciseId":"EX013","restSec":90,"updatedAt":"2026-07-19T10:00:00.000Z"}],"order":1,"updatedAt":"2026-07-19T10:00:00.000Z","notes":""}],"description":"Optional short delt/arm/calves session only when recovered and outside RFL.","active":true,"updatedAt":"2026-07-19T10:00:00.000Z"}],"exercises":[{"id":"EX001","name":"High-bar back squat","muscle":"Quads / Glutes","pattern":"Squat","equipment":"Power rack / squat stands + Barbell + plates","primaryFor":"Squat","difficulty":"Main lift","notes":"Use if bracing and depth remain controlled.","rflOk":"Yes","favourite":false,"updatedAt":"2026-07-19T10:00:00.000Z","equipmentOptions":[["Power rack / squat stands","Barbell + plates"]],"optionalEquipment":[]},{"id":"EX002","name":"Front squat","muscle":"Quads / Core","pattern":"Squat","equipment":"Power rack / squat stands + Barbell + plates","primaryFor":"Squat","difficulty":"Main lift","notes":"Useful if it is more back-friendly than back squat.","rflOk":"Yes","favourite":false,"updatedAt":"2026-07-19T10:00:00.000Z","equipmentOptions":[["Power rack / squat stands","Barbell + plates"]],"optionalEquipment":[]},{"id":"EX003","name":"Heels-elevated squat","muscle":"Quads","pattern":"Squat","equipment":"Power rack / squat stands + Barbell + plates OR Dumbbells","primaryFor":"Squat","difficulty":"Main lift","notes":"More quad bias; use a small wedge or plates under heels.","rflOk":"Yes","favourite":false,"updatedAt":"2026-07-19T10:00:00.000Z","equipmentOptions":[["Power rack / squat stands","Barbell + plates"],["Dumbbells"]],"optionalEquipment":["Slant board / heel wedge"]},{"id":"EX004","name":"Box squat","muscle":"Quads / Glutes","pattern":"Squat","equipment":"Power rack / squat stands + Barbell + plates + Bench or box","primaryFor":"Squat","difficulty":"Substitution","notes":"Useful for controlled depth.","rflOk":"Yes","favourite":false,"updatedAt":"2026-07-19T10:00:00.000Z","equipmentOptions":[["Power rack / squat stands","Barbell + plates","Bench or box"]],"optionalEquipment":[]},{"id":"EX005","name":"Goblet squat","muscle":"Quads / Glutes","pattern":"Squat","equipment":"Dumbbells OR Kettlebells","primaryFor":"Squat","difficulty":"Substitution","notes":"Good warm-up or deload option.","rflOk":"Yes","favourite":false,"updatedAt":"2026-07-19T10:00:00.000Z","equipmentOptions":[["Dumbbells"],["Kettlebells"]],"optionalEquipment":["Slant board / heel wedge"]},{"id":"EX006","name":"Bulgarian split squat","muscle":"Quads / Glutes","pattern":"Single-leg","equipment":"Bench or box","primaryFor":"Squat","difficulty":"Accessory","notes":"High stimulus with lower spinal loading.","rflOk":"Yes","favourite":false,"updatedAt":"2026-07-19T10:00:00.000Z","equipmentOptions":[["Bench or box"]],"optionalEquipment":["Dumbbells"]},{"id":"EX007","name":"Reverse lunge","muscle":"Quads / Glutes","pattern":"Single-leg","equipment":"Bodyweight / floor space","primaryFor":"Squat","difficulty":"Accessory","notes":"Usually knee-friendly if stride is controlled.","rflOk":"Yes","favourite":false,"updatedAt":"2026-07-19T10:00:00.000Z","equipmentOptions":[["Bodyweight / floor space"]],"optionalEquipment":["Dumbbells"]},{"id":"EX008","name":"Romanian deadlift","muscle":"Hamstrings / Glutes","pattern":"Hip hinge","equipment":"Barbell + plates OR Dumbbells OR Kettlebells","primaryFor":"Hinge","difficulty":"Main lift","notes":"Only use if lower back is not the limiter.","rflOk":"Yes","favourite":false,"updatedAt":"2026-07-19T10:00:00.000Z","equipmentOptions":[["Barbell + plates"],["Dumbbells"],["Kettlebells"]],"optionalEquipment":[]},{"id":"EX009","name":"Dumbbell Romanian deadlift","muscle":"Hamstrings / Glutes","pattern":"Hip hinge","equipment":"Dumbbells","primaryFor":"Hinge","difficulty":"Substitution","notes":"Easier to control than barbell for some lifters.","rflOk":"Yes","favourite":false,"updatedAt":"2026-07-19T10:00:00.000Z","equipmentOptions":[["Dumbbells"]],"optionalEquipment":[]},{"id":"EX010","name":"Barbell hip thrust","muscle":"Glutes / Hamstrings","pattern":"Hip extension","equipment":"Barbell + plates + Bench","primaryFor":"Hinge","difficulty":"Main lift","notes":"Back-friendly hinge replacement.","rflOk":"Yes","favourite":false,"updatedAt":"2026-07-19T10:00:00.000Z","equipmentOptions":[["Barbell + plates","Bench"]],"optionalEquipment":[]},{"id":"EX011","name":"Cable pull-through","muscle":"Glutes / Hamstrings","pattern":"Hip hinge","equipment":"Cable station","primaryFor":"Hinge","difficulty":"Substitution","notes":"Good replacement for RDL if back feels taxed.","rflOk":"Yes","favourite":false,"updatedAt":"2026-07-19T10:00:00.000Z","equipmentOptions":[["Cable station"]],"optionalEquipment":[]},{"id":"EX012","name":"Cable leg curl","muscle":"Hamstrings","pattern":"Knee flexion","equipment":"Cable station + Ankle strap","primaryFor":"Hamstrings","difficulty":"Accessory","notes":"Can use bench/prone setup with ankle strap.","rflOk":"Yes","favourite":false,"updatedAt":"2026-07-19T10:00:00.000Z","equipmentOptions":[["Cable station","Ankle strap"]],"optionalEquipment":[]},{"id":"EX013","name":"Standing calf raise","muscle":"Calves","pattern":"Calf raise","equipment":"Bodyweight / floor space","primaryFor":"Calves","difficulty":"Accessory","notes":"Pause in stretched and contracted positions.","rflOk":"Yes","favourite":false,"updatedAt":"2026-07-19T10:00:00.000Z","equipmentOptions":[["Bodyweight / floor space"]],"optionalEquipment":["Dumbbells","Barbell + plates","Calf raise platform / machine"]},{"id":"EX014","name":"Barbell bench press","muscle":"Chest / Triceps","pattern":"Horizontal press","equipment":"Power rack / squat stands + Barbell + plates + Bench","primaryFor":"Press","difficulty":"Main lift","notes":"Use safeties in rack.","rflOk":"Yes","favourite":false,"updatedAt":"2026-07-19T10:00:00.000Z","equipmentOptions":[["Power rack / squat stands","Barbell + plates","Bench"]],"optionalEquipment":[]},{"id":"EX015","name":"Dumbbell bench press","muscle":"Chest / Triceps","pattern":"Horizontal press","equipment":"Dumbbells + Bench","primaryFor":"Press","difficulty":"Substitution","notes":"Good shoulder-friendly press variation.","rflOk":"Yes","favourite":false,"updatedAt":"2026-07-19T10:00:00.000Z","equipmentOptions":[["Dumbbells","Bench"]],"optionalEquipment":[]},{"id":"EX016","name":"Incline dumbbell press","muscle":"Upper chest","pattern":"Incline press","equipment":"Dumbbells + Adjustable bench","primaryFor":"Press","difficulty":"Accessory","notes":"Use controlled eccentric.","rflOk":"Yes","favourite":false,"updatedAt":"2026-07-19T10:00:00.000Z","equipmentOptions":[["Dumbbells","Adjustable bench"]],"optionalEquipment":[]},{"id":"EX017","name":"Floor press","muscle":"Chest / Triceps","pattern":"Horizontal press","equipment":"Barbell + plates OR Dumbbells","primaryFor":"Press","difficulty":"Substitution","notes":"Good if shoulder range is sensitive.","rflOk":"Yes","favourite":false,"updatedAt":"2026-07-19T10:00:00.000Z","equipmentOptions":[["Barbell + plates"],["Dumbbells"]],"optionalEquipment":["Power rack / squat stands"]},{"id":"EX018","name":"Close-grip bench press","muscle":"Triceps / Chest","pattern":"Horizontal press","equipment":"Power rack / squat stands + Barbell + plates + Bench","primaryFor":"Triceps","difficulty":"Accessory","notes":"Avoid painful wrist/elbow angles.","rflOk":"Yes","favourite":false,"updatedAt":"2026-07-19T10:00:00.000Z","equipmentOptions":[["Power rack / squat stands","Barbell + plates","Bench"]],"optionalEquipment":[]},{"id":"EX019","name":"Weighted ring push-up","muscle":"Chest / Triceps","pattern":"Horizontal press","equipment":"Gymnastic rings / suspension trainer","primaryFor":"Press","difficulty":"Substitution","notes":"Progress by adding load or elevating feet.","rflOk":"Yes","favourite":false,"updatedAt":"2026-07-19T10:00:00.000Z","equipmentOptions":[["Gymnastic rings / suspension trainer"]],"optionalEquipment":["Weighted vest"]},{"id":"EX020","name":"Seated dumbbell overhead press","muscle":"Delts / Triceps","pattern":"Vertical press","equipment":"Dumbbells + Bench","primaryFor":"Press","difficulty":"Main lift","notes":"More back-friendly than standing press.","rflOk":"Yes","favourite":false,"updatedAt":"2026-07-19T10:00:00.000Z","equipmentOptions":[["Dumbbells","Bench"]],"optionalEquipment":[]},{"id":"EX021","name":"Standing overhead press","muscle":"Delts / Triceps","pattern":"Vertical press","equipment":"Barbell + plates","primaryFor":"Press","difficulty":"Substitution","notes":"Use only if bracing is solid.","rflOk":"Yes","favourite":false,"updatedAt":"2026-07-19T10:00:00.000Z","equipmentOptions":[["Barbell + plates"]],"optionalEquipment":[]},{"id":"EX022","name":"Incline dumbbell or seated dumbbell press","muscle":"Chest / Delts","pattern":"Incline or vertical press","equipment":"Dumbbells + Adjustable bench","primaryFor":"Press","difficulty":"RFL combined slot","notes":"Choose the one that feels strongest that day.","rflOk":"Yes","favourite":false,"updatedAt":"2026-07-19T10:00:00.000Z","equipmentOptions":[["Dumbbells","Adjustable bench"]],"optionalEquipment":[]},{"id":"EX023","name":"Chest-supported dumbbell row","muscle":"Upper back / Lats","pattern":"Horizontal pull","equipment":"Dumbbells + Adjustable bench","primaryFor":"Row","difficulty":"Main lift","notes":"Preferred back-friendly row.","rflOk":"Yes","favourite":false,"updatedAt":"2026-07-19T10:00:00.000Z","equipmentOptions":[["Dumbbells","Adjustable bench"]],"optionalEquipment":[]},{"id":"EX024","name":"One-arm cable row","muscle":"Upper back / Lats","pattern":"Horizontal pull","equipment":"Cable station","primaryFor":"Row","difficulty":"Accessory","notes":"Keep torso stable.","rflOk":"Yes","favourite":false,"updatedAt":"2026-07-19T10:00:00.000Z","equipmentOptions":[["Cable station"]],"optionalEquipment":[]},{"id":"EX025","name":"Seated cable row","muscle":"Upper back / Lats","pattern":"Horizontal pull","equipment":"Cable station OR Lat pulldown / low row machine","primaryFor":"Row","difficulty":"Substitution","notes":"Good controlled row option.","rflOk":"Yes","favourite":false,"updatedAt":"2026-07-19T10:00:00.000Z","equipmentOptions":[["Cable station"],["Lat pulldown / low row machine"]],"optionalEquipment":[]},{"id":"EX026","name":"One-arm dumbbell row","muscle":"Lats / Upper back","pattern":"Horizontal pull","equipment":"Dumbbells + Bench","primaryFor":"Row","difficulty":"Substitution","notes":"Support torso on bench.","rflOk":"Yes","favourite":false,"updatedAt":"2026-07-19T10:00:00.000Z","equipmentOptions":[["Dumbbells","Bench"]],"optionalEquipment":[]},{"id":"EX027","name":"Inverted row","muscle":"Upper back","pattern":"Horizontal pull","equipment":"Gymnastic rings / suspension trainer OR Power rack / squat stands + Barbell + plates","primaryFor":"Row","difficulty":"Substitution","notes":"Adjust body angle for difficulty.","rflOk":"Yes","favourite":false,"updatedAt":"2026-07-19T10:00:00.000Z","equipmentOptions":[["Gymnastic rings / suspension trainer"],["Power rack / squat stands","Barbell + plates"]],"optionalEquipment":["Weighted vest"]},{"id":"EX028","name":"Barbell row","muscle":"Upper back","pattern":"Horizontal pull","equipment":"Barbell + plates","primaryFor":"Row","difficulty":"Caution","notes":"Use only if lower back is not limiting.","rflOk":"No during RFL if fatigued","favourite":false,"updatedAt":"2026-07-19T10:00:00.000Z","equipmentOptions":[["Barbell + plates"]],"optionalEquipment":[]},{"id":"EX029","name":"Cable lat pulldown","muscle":"Lats","pattern":"Vertical pull","equipment":"Cable station OR Lat pulldown / low row machine","primaryFor":"Vertical pull","difficulty":"Main lift","notes":"Use controlled stretch.","rflOk":"Yes","favourite":false,"updatedAt":"2026-07-19T10:00:00.000Z","equipmentOptions":[["Cable station"],["Lat pulldown / low row machine"]],"optionalEquipment":[]},{"id":"EX030","name":"Ring chin-up","muscle":"Lats / Biceps","pattern":"Vertical pull","equipment":"Gymnastic rings / suspension trainer","primaryFor":"Vertical pull","difficulty":"Substitution","notes":"Use assistance if needed.","rflOk":"Yes","favourite":false,"updatedAt":"2026-07-19T10:00:00.000Z","equipmentOptions":[["Gymnastic rings / suspension trainer"]],"optionalEquipment":["Resistance bands / tubes","Dip belt / loading belt"]},{"id":"EX031","name":"Weighted chin-up","muscle":"Lats / Biceps","pattern":"Vertical pull","equipment":"Pull-up bar + Dip belt / loading belt","primaryFor":"Vertical pull","difficulty":"Main lift","notes":"Only load when reps are clean.","rflOk":"Yes","favourite":false,"updatedAt":"2026-07-19T10:00:00.000Z","equipmentOptions":[["Pull-up bar","Dip belt / loading belt"]],"optionalEquipment":[]},{"id":"EX032","name":"Straight-arm cable pulldown","muscle":"Lats","pattern":"Pullover","equipment":"Cable station","primaryFor":"Vertical pull","difficulty":"Accessory","notes":"Good lat isolation add-on.","rflOk":"Yes","favourite":false,"updatedAt":"2026-07-19T10:00:00.000Z","equipmentOptions":[["Cable station"]],"optionalEquipment":[]},{"id":"EX033","name":"Cable lateral raise","muscle":"Side delts","pattern":"Lateral raise","equipment":"Cable station","primaryFor":"Delts","difficulty":"GVS-style accessory","notes":"High-control delt work.","rflOk":"Yes","favourite":false,"updatedAt":"2026-07-19T10:00:00.000Z","equipmentOptions":[["Cable station"]],"optionalEquipment":[]},{"id":"EX034","name":"Dumbbell lateral raise","muscle":"Side delts","pattern":"Lateral raise","equipment":"Dumbbells","primaryFor":"Delts","difficulty":"Substitution","notes":"Use strict reps; avoid swinging.","rflOk":"Yes","favourite":false,"updatedAt":"2026-07-19T10:00:00.000Z","equipmentOptions":[["Dumbbells"]],"optionalEquipment":[]},{"id":"EX035","name":"Cable rear-delt fly","muscle":"Rear delts","pattern":"Rear delt","equipment":"Cable station","primaryFor":"Rear delts","difficulty":"Accessory","notes":"Lead with elbows, not hands.","rflOk":"Yes","favourite":false,"updatedAt":"2026-07-19T10:00:00.000Z","equipmentOptions":[["Cable station"]],"optionalEquipment":[]},{"id":"EX036","name":"Face pull","muscle":"Rear delts / Upper back","pattern":"Rear delt / external rotation","equipment":"Cable station + Rope cable attachment","primaryFor":"Rear delts","difficulty":"Substitution","notes":"Good shoulder-health option.","rflOk":"Yes","favourite":false,"updatedAt":"2026-07-19T10:00:00.000Z","equipmentOptions":[["Cable station","Rope cable attachment"]],"optionalEquipment":[]},{"id":"EX037","name":"Rear-delt cable fly","muscle":"Rear delts","pattern":"Rear delt","equipment":"Cable station","primaryFor":"Rear delts","difficulty":"Accessory","notes":"Same as cable rear-delt fly.","rflOk":"Yes","favourite":false,"updatedAt":"2026-07-19T10:00:00.000Z","equipmentOptions":[["Cable station"]],"optionalEquipment":[]},{"id":"EX038","name":"Cable triceps pushdown","muscle":"Triceps","pattern":"Elbow extension","equipment":"Cable station","primaryFor":"Triceps","difficulty":"Accessory","notes":"Keep upper arm fixed.","rflOk":"Yes","favourite":false,"updatedAt":"2026-07-19T10:00:00.000Z","equipmentOptions":[["Cable station"]],"optionalEquipment":[]},{"id":"EX039","name":"Overhead cable triceps extension","muscle":"Triceps long head","pattern":"Elbow extension","equipment":"Cable station + Rope cable attachment","primaryFor":"Triceps","difficulty":"Accessory","notes":"Use pain-free elbow path.","rflOk":"Yes","favourite":false,"updatedAt":"2026-07-19T10:00:00.000Z","equipmentOptions":[["Cable station","Rope cable attachment"]],"optionalEquipment":[]},{"id":"EX040","name":"Dumbbell skull crusher","muscle":"Triceps","pattern":"Elbow extension","equipment":"Dumbbells","primaryFor":"Triceps","difficulty":"Substitution","notes":"Use light and controlled.","rflOk":"Maybe","favourite":false,"updatedAt":"2026-07-19T10:00:00.000Z","equipmentOptions":[["Dumbbells"]],"optionalEquipment":[]},{"id":"EX041","name":"Cable curl","muscle":"Biceps","pattern":"Elbow flexion","equipment":"Cable station","primaryFor":"Biceps","difficulty":"Accessory","notes":"Constant tension curl.","rflOk":"Yes","favourite":false,"updatedAt":"2026-07-19T10:00:00.000Z","equipmentOptions":[["Cable station"]],"optionalEquipment":[]},{"id":"EX042","name":"Incline dumbbell curl","muscle":"Biceps","pattern":"Elbow flexion","equipment":"Dumbbells + Adjustable bench","primaryFor":"Biceps","difficulty":"Accessory","notes":"Great long-head stretch; do not overextend shoulder.","rflOk":"Yes","favourite":false,"updatedAt":"2026-07-19T10:00:00.000Z","equipmentOptions":[["Dumbbells","Adjustable bench"]],"optionalEquipment":[]},{"id":"EX043","name":"Dumbbell hammer curl","muscle":"Biceps / Brachialis","pattern":"Elbow flexion","equipment":"Dumbbells","primaryFor":"Biceps","difficulty":"Accessory","notes":"Neutral-grip elbow-friendly curl.","rflOk":"Yes","favourite":false,"updatedAt":"2026-07-19T10:00:00.000Z","equipmentOptions":[["Dumbbells"]],"optionalEquipment":[]},{"id":"EX044","name":"Ring curl","muscle":"Biceps","pattern":"Elbow flexion","equipment":"Gymnastic rings / suspension trainer","primaryFor":"Biceps","difficulty":"Substitution","notes":"Adjust angle for difficulty.","rflOk":"Yes","favourite":false,"updatedAt":"2026-07-19T10:00:00.000Z","equipmentOptions":[["Gymnastic rings / suspension trainer"]],"optionalEquipment":[]},{"id":"EX045","name":"Cable or ring curl","muscle":"Biceps","pattern":"Elbow flexion","equipment":"Cable station OR Gymnastic rings / suspension trainer","primaryFor":"Biceps","difficulty":"Optional slot","notes":"Choose cable if elbows feel sensitive.","rflOk":"Yes","favourite":false,"updatedAt":"2026-07-19T10:00:00.000Z","equipmentOptions":[["Cable station"],["Gymnastic rings / suspension trainer"]],"optionalEquipment":[]},{"id":"EX046","name":"Dead bug","muscle":"Core","pattern":"Anti-extension","equipment":"Bodyweight / floor space","primaryFor":"Core","difficulty":"Accessory","notes":"Control lower back position.","rflOk":"Yes","favourite":false,"updatedAt":"2026-07-19T10:00:00.000Z","equipmentOptions":[["Bodyweight / floor space"]],"optionalEquipment":[]},{"id":"EX047","name":"Pallof press","muscle":"Core","pattern":"Anti-rotation","equipment":"Cable station OR Resistance bands / tubes","primaryFor":"Core","difficulty":"Accessory","notes":"Pause each rep.","rflOk":"Yes","favourite":false,"updatedAt":"2026-07-19T10:00:00.000Z","equipmentOptions":[["Cable station"],["Resistance bands / tubes"]],"optionalEquipment":[]},{"id":"EX048","name":"Ab wheel","muscle":"Core","pattern":"Anti-extension","equipment":"Ab wheel","primaryFor":"Core","difficulty":"Accessory","notes":"Use only if lower back stays neutral.","rflOk":"No if fatigued","favourite":false,"updatedAt":"2026-07-19T10:00:00.000Z","equipmentOptions":[["Ab wheel"]],"optionalEquipment":[]},{"id":"EX049","name":"Cable crunch","muscle":"Abs","pattern":"Spinal flexion","equipment":"Cable station","primaryFor":"Core","difficulty":"Substitution","notes":"Controlled range; avoid yanking.","rflOk":"Yes","favourite":false,"updatedAt":"2026-07-19T10:00:00.000Z","equipmentOptions":[["Cable station"]],"optionalEquipment":[]},{"id":"EX050","name":"Brisk walking","muscle":"Cardio / Recovery","pattern":"Aerobic","equipment":"Bodyweight / floor space OR Treadmill","primaryFor":"Cardio","difficulty":"Recovery","notes":"Easy pace where you can speak in sentences.","rflOk":"Yes","favourite":false,"updatedAt":"2026-07-19T10:00:00.000Z","equipmentOptions":[["Bodyweight / floor space"],["Treadmill"]],"optionalEquipment":["Weighted vest"]},{"id":"EX051","name":"Easy bike","muscle":"Cardio / Recovery","pattern":"Aerobic","equipment":"Exercise bike","primaryFor":"Cardio","difficulty":"Recovery","notes":"Low impact option if available.","rflOk":"Yes","favourite":false,"updatedAt":"2026-07-19T10:00:00.000Z","equipmentOptions":[["Exercise bike"]],"optionalEquipment":[]},{"id":"EX052","name":"Mobility flow","muscle":"Recovery","pattern":"Mobility","equipment":"Bodyweight / floor space","primaryFor":"Recovery","difficulty":"Recovery","notes":"5-10 minutes hips, t-spine, ankles.","rflOk":"Yes","favourite":false,"updatedAt":"2026-07-19T10:00:00.000Z","equipmentOptions":[["Bodyweight / floor space"]],"optionalEquipment":[]},{"id":"EX053","name":"Push-up","muscle":"Chest / Triceps","pattern":"Horizontal press","equipment":"Bodyweight / floor space","equipmentOptions":[["Bodyweight / floor space"]],"optionalEquipment":["Weighted vest","Resistance bands / tubes"],"primaryFor":"Horizontal press","difficulty":"Substitution","notes":"Use handles or dumbbells as grips if wrists prefer neutral.","rflOk":"Yes","favourite":false,"updatedAt":"2026-07-19T15:45:00.000Z"},{"id":"EX054","name":"Feet-elevated push-up","muscle":"Upper chest / Triceps","pattern":"Incline press","equipment":"Bodyweight / floor space + Bench or box","equipmentOptions":[["Bodyweight / floor space","Bench or box"]],"optionalEquipment":["Weighted vest"],"primaryFor":"Incline press","difficulty":"Substitution","notes":"","rflOk":"Yes","favourite":false,"updatedAt":"2026-07-19T15:45:00.000Z"},{"id":"EX055","name":"Pike push-up","muscle":"Delts / Triceps","pattern":"Vertical press","equipment":"Bodyweight / floor space","equipmentOptions":[["Bodyweight / floor space"]],"optionalEquipment":["Bench or box"],"primaryFor":"Vertical press","difficulty":"Substitution","notes":"","rflOk":"Yes","favourite":false,"updatedAt":"2026-07-19T15:45:00.000Z"},{"id":"EX056","name":"Parallel-bar dip","muscle":"Chest / Triceps","pattern":"Vertical dip","equipment":"Dip station / parallel bars","equipmentOptions":[["Dip station / parallel bars"]],"optionalEquipment":["Dip belt / loading belt","Resistance bands / tubes"],"primaryFor":"Horizontal press","difficulty":"Substitution","notes":"","rflOk":"Yes","favourite":false,"updatedAt":"2026-07-19T15:45:00.000Z"},{"id":"EX057","name":"Band-assisted dip","muscle":"Chest / Triceps","pattern":"Vertical dip","equipment":"Dip station / parallel bars + Resistance bands / tubes","equipmentOptions":[["Dip station / parallel bars","Resistance bands / tubes"]],"optionalEquipment":[],"primaryFor":"Horizontal press","difficulty":"Substitution","notes":"","rflOk":"Yes","favourite":false,"updatedAt":"2026-07-19T15:45:00.000Z"},{"id":"EX058","name":"Low-bar back squat","muscle":"Quads / Glutes","pattern":"Squat","equipment":"Power rack / squat stands + Barbell + plates","equipmentOptions":[["Power rack / squat stands","Barbell + plates"]],"optionalEquipment":[],"primaryFor":"Squat","difficulty":"Main lift","notes":"Use only if shoulder position and technique are comfortable.","rflOk":"Yes","favourite":false,"updatedAt":"2026-07-19T15:45:00.000Z"},{"id":"EX059","name":"Safety-bar squat","muscle":"Quads / Glutes","pattern":"Squat","equipment":"Power rack / squat stands + Safety squat bar","equipmentOptions":[["Power rack / squat stands","Safety squat bar"]],"optionalEquipment":[],"primaryFor":"Squat","difficulty":"Main lift","notes":"Often easier on shoulders and upper back.","rflOk":"Yes","favourite":false,"updatedAt":"2026-07-19T15:45:00.000Z"},{"id":"EX060","name":"Smith-machine squat","muscle":"Quads / Glutes","pattern":"Squat","equipment":"Smith machine","equipmentOptions":[["Smith machine"]],"optionalEquipment":[],"primaryFor":"Squat","difficulty":"Main lift","notes":"Choose a foot position that keeps the movement comfortable.","rflOk":"Yes","favourite":false,"updatedAt":"2026-07-19T15:45:00.000Z"},{"id":"EX061","name":"Landmine squat","muscle":"Quads / Glutes","pattern":"Squat","equipment":"Barbell + plates + Landmine attachment","equipmentOptions":[["Barbell + plates","Landmine attachment"]],"optionalEquipment":[],"primaryFor":"Squat","difficulty":"Substitution","notes":"Stable front-loaded squat option.","rflOk":"Yes","favourite":false,"updatedAt":"2026-07-19T15:45:00.000Z"},{"id":"EX062","name":"Leg press","muscle":"Quads / Glutes","pattern":"Squat","equipment":"Leg press / hack squat","equipmentOptions":[["Leg press / hack squat"]],"optionalEquipment":[],"primaryFor":"Squat","difficulty":"Main lift","notes":"Use controlled depth and avoid pelvis rolling.","rflOk":"Yes","favourite":false,"updatedAt":"2026-07-19T15:45:00.000Z"},{"id":"EX063","name":"Hack squat","muscle":"Quads / Glutes","pattern":"Squat","equipment":"Leg press / hack squat","equipmentOptions":[["Leg press / hack squat"]],"optionalEquipment":[],"primaryFor":"Squat","difficulty":"Main lift","notes":"Quad-biased machine squat.","rflOk":"Yes","favourite":false,"updatedAt":"2026-07-19T15:45:00.000Z"},{"id":"EX064","name":"Leg extension","muscle":"Quads","pattern":"Knee extension","equipment":"Leg extension machine","equipmentOptions":[["Leg extension machine"]],"optionalEquipment":[],"primaryFor":"Quads","difficulty":"Isolation","notes":"Control the top and lower without bouncing.","rflOk":"Maybe","favourite":false,"updatedAt":"2026-07-19T15:45:00.000Z"},{"id":"EX065","name":"Step-up","muscle":"Quads / Glutes","pattern":"Single-leg","equipment":"Bench or box","equipmentOptions":[["Bench or box"]],"optionalEquipment":["Dumbbells","Kettlebells"],"primaryFor":"Single-leg","difficulty":"Substitution","notes":"","rflOk":"Yes","favourite":false,"updatedAt":"2026-07-19T15:45:00.000Z"},{"id":"EX066","name":"Walking lunge","muscle":"Quads / Glutes","pattern":"Single-leg","equipment":"Bodyweight / floor space","equipmentOptions":[["Bodyweight / floor space"]],"optionalEquipment":["Dumbbells","Kettlebells","Weighted vest"],"primaryFor":"Single-leg","difficulty":"Substitution","notes":"","rflOk":"Yes","favourite":false,"updatedAt":"2026-07-19T15:45:00.000Z"},{"id":"EX067","name":"Bodyweight split squat","muscle":"Quads / Glutes","pattern":"Single-leg","equipment":"Bodyweight / floor space","equipmentOptions":[["Bodyweight / floor space"]],"optionalEquipment":["Dumbbells","Weighted vest"],"primaryFor":"Single-leg","difficulty":"Substitution","notes":"","rflOk":"Yes","favourite":false,"updatedAt":"2026-07-19T15:45:00.000Z"},{"id":"EX068","name":"Conventional deadlift","muscle":"Hamstrings / Glutes / Back","pattern":"Hip hinge","equipment":"Barbell + plates","equipmentOptions":[["Barbell + plates"]],"optionalEquipment":[],"primaryFor":"Hip hinge","difficulty":"Main lift","notes":"Use only when technique and recovery support it.","rflOk":"Maybe","favourite":false,"updatedAt":"2026-07-19T15:45:00.000Z"},{"id":"EX069","name":"Sumo deadlift","muscle":"Glutes / Hamstrings / Adductors","pattern":"Hip hinge","equipment":"Barbell + plates","equipmentOptions":[["Barbell + plates"]],"optionalEquipment":[],"primaryFor":"Hip hinge","difficulty":"Main lift","notes":"Choose stance based on comfort and proportions.","rflOk":"Maybe","favourite":false,"updatedAt":"2026-07-19T15:45:00.000Z"},{"id":"EX070","name":"Trap-bar deadlift","muscle":"Quads / Glutes / Hamstrings","pattern":"Hip hinge","equipment":"Trap / hex bar + Barbell plates","equipmentOptions":[["Trap / hex bar","Barbell plates"]],"optionalEquipment":[],"primaryFor":"Hip hinge","difficulty":"Main lift","notes":"Often easier to keep the load close to the body.","rflOk":"Yes","favourite":false,"updatedAt":"2026-07-19T15:45:00.000Z"},{"id":"EX071","name":"Rack pull","muscle":"Glutes / Back","pattern":"Hip hinge","equipment":"Power rack / squat stands + Barbell + plates","equipmentOptions":[["Power rack / squat stands","Barbell + plates"]],"optionalEquipment":[],"primaryFor":"Hip hinge","difficulty":"Main lift","notes":"Use sparingly; high loading can be fatiguing.","rflOk":"Maybe","favourite":false,"updatedAt":"2026-07-19T15:45:00.000Z"},{"id":"EX072","name":"Good morning","muscle":"Hamstrings / Glutes","pattern":"Hip hinge","equipment":"Power rack / squat stands + Barbell + plates","equipmentOptions":[["Power rack / squat stands","Barbell + plates"]],"optionalEquipment":[],"primaryFor":"Hip hinge","difficulty":"Substitution","notes":"Light, controlled hinge; not a max-load movement.","rflOk":"Maybe","favourite":false,"updatedAt":"2026-07-19T15:45:00.000Z"},{"id":"EX073","name":"Kettlebell Romanian deadlift","muscle":"Hamstrings / Glutes","pattern":"Hip hinge","equipment":"Kettlebells","equipmentOptions":[["Kettlebells"]],"optionalEquipment":[],"primaryFor":"Hip hinge","difficulty":"Substitution","notes":"","rflOk":"Yes","favourite":false,"updatedAt":"2026-07-19T15:45:00.000Z"},{"id":"EX074","name":"Kettlebell swing","muscle":"Glutes / Conditioning","pattern":"Ballistic hinge","equipment":"Kettlebells","equipmentOptions":[["Kettlebells"]],"optionalEquipment":[],"primaryFor":"Conditioning","difficulty":"Conditioning","notes":"Use only with established hinge technique.","rflOk":"Maybe","favourite":false,"updatedAt":"2026-07-19T15:45:00.000Z"},{"id":"EX075","name":"Dumbbell hip thrust","muscle":"Glutes / Hamstrings","pattern":"Hip extension","equipment":"Dumbbells + Bench","equipmentOptions":[["Dumbbells","Bench"]],"optionalEquipment":[],"primaryFor":"Hip extension","difficulty":"Substitution","notes":"","rflOk":"Yes","favourite":false,"updatedAt":"2026-07-19T15:45:00.000Z"},{"id":"EX076","name":"Glute bridge","muscle":"Glutes / Hamstrings","pattern":"Hip extension","equipment":"Bodyweight / floor space","equipmentOptions":[["Bodyweight / floor space"]],"optionalEquipment":["Dumbbells","Barbell + plates","Resistance bands / tubes"],"primaryFor":"Hip extension","difficulty":"Substitution","notes":"","rflOk":"Yes","favourite":false,"updatedAt":"2026-07-19T15:45:00.000Z"},{"id":"EX077","name":"Seated leg curl","muscle":"Hamstrings","pattern":"Knee flexion","equipment":"Leg curl machine","equipmentOptions":[["Leg curl machine"]],"optionalEquipment":[],"primaryFor":"Knee flexion","difficulty":"Isolation","notes":"","rflOk":"Yes","favourite":false,"updatedAt":"2026-07-19T15:45:00.000Z"},{"id":"EX078","name":"Lying leg curl","muscle":"Hamstrings","pattern":"Knee flexion","equipment":"Leg curl machine","equipmentOptions":[["Leg curl machine"]],"optionalEquipment":[],"primaryFor":"Knee flexion","difficulty":"Isolation","notes":"","rflOk":"Yes","favourite":false,"updatedAt":"2026-07-19T15:45:00.000Z"},{"id":"EX079","name":"Banded leg curl","muscle":"Hamstrings","pattern":"Knee flexion","equipment":"Resistance bands / tubes + Secure band anchor","equipmentOptions":[["Resistance bands / tubes","Secure band anchor"]],"optionalEquipment":[],"primaryFor":"Knee flexion","difficulty":"Isolation","notes":"","rflOk":"Yes","favourite":false,"updatedAt":"2026-07-19T15:45:00.000Z"},{"id":"EX080","name":"Stability-ball leg curl","muscle":"Hamstrings / Glutes","pattern":"Knee flexion","equipment":"Stability ball","equipmentOptions":[["Stability ball"]],"optionalEquipment":[],"primaryFor":"Knee flexion","difficulty":"Substitution","notes":"","rflOk":"Yes","favourite":false,"updatedAt":"2026-07-19T15:45:00.000Z"},{"id":"EX081","name":"Nordic hamstring curl","muscle":"Hamstrings","pattern":"Knee flexion","equipment":"Glute-ham developer / Nordic bench","equipmentOptions":[["Glute-ham developer / Nordic bench"]],"optionalEquipment":[],"primaryFor":"Knee flexion","difficulty":"Advanced","notes":"Use assistance and a controlled eccentric.","rflOk":"Maybe","favourite":false,"updatedAt":"2026-07-19T15:45:00.000Z"},{"id":"EX082","name":"Glute-ham raise","muscle":"Hamstrings / Glutes","pattern":"Knee flexion","equipment":"Glute-ham developer / Nordic bench","equipmentOptions":[["Glute-ham developer / Nordic bench"]],"optionalEquipment":[],"primaryFor":"Knee flexion","difficulty":"Advanced","notes":"Scale range of motion as needed.","rflOk":"Maybe","favourite":false,"updatedAt":"2026-07-19T15:45:00.000Z"},{"id":"EX083","name":"Seated calf raise","muscle":"Soleus / Calves","pattern":"Calf raise","equipment":"Calf raise platform / machine OR Bench + Dumbbells","equipmentOptions":[["Calf raise platform / machine"],["Bench","Dumbbells"]],"optionalEquipment":[],"primaryFor":"Calf raise","difficulty":"Isolation","notes":"","rflOk":"Yes","favourite":false,"updatedAt":"2026-07-19T15:45:00.000Z"},{"id":"EX084","name":"Single-leg calf raise","muscle":"Calves","pattern":"Calf raise","equipment":"Bodyweight / floor space","equipmentOptions":[["Bodyweight / floor space"]],"optionalEquipment":["Dumbbells","Calf raise platform / machine"],"primaryFor":"Calf raise","difficulty":"Isolation","notes":"","rflOk":"Yes","favourite":false,"updatedAt":"2026-07-19T15:45:00.000Z"},{"id":"EX085","name":"Smith-machine bench press","muscle":"Chest / Triceps","pattern":"Horizontal press","equipment":"Smith machine + Bench","equipmentOptions":[["Smith machine","Bench"]],"optionalEquipment":[],"primaryFor":"Horizontal press","difficulty":"Main lift","notes":"","rflOk":"Yes","favourite":false,"updatedAt":"2026-07-19T15:45:00.000Z"},{"id":"EX086","name":"Chest press machine","muscle":"Chest / Triceps","pattern":"Horizontal press","equipment":"Chest press / pec deck machine","equipmentOptions":[["Chest press / pec deck machine"]],"optionalEquipment":[],"primaryFor":"Horizontal press","difficulty":"Main lift","notes":"","rflOk":"Yes","favourite":false,"updatedAt":"2026-07-19T15:45:00.000Z"},{"id":"EX087","name":"Dumbbell fly","muscle":"Chest","pattern":"Chest isolation","equipment":"Dumbbells + Bench","equipmentOptions":[["Dumbbells","Bench"]],"optionalEquipment":[],"primaryFor":"Chest","difficulty":"Isolation</t>
        </is>
      </c>
      <c r="C2" s="134" t="n">
        <v>0</v>
      </c>
      <c r="D2" s="175" t="n">
        <v>46222.875</v>
      </c>
      <c r="E2" s="134" t="inlineStr">
        <is>
          <t>template</t>
        </is>
      </c>
      <c r="F2" s="134" t="inlineStr">
        <is>
          <t>v2.3 template</t>
        </is>
      </c>
      <c r="G2" s="135" t="n"/>
    </row>
    <row r="3">
      <c r="A3" s="136" t="n">
        <v>2</v>
      </c>
      <c r="B3" s="144" t="inlineStr">
        <is>
          <t>","notes":"Use a comfortable range; avoid excessive stretch.","rflOk":"Maybe","favourite":false,"updatedAt":"2026-07-19T15:45:00.000Z"},{"id":"EX088","name":"Pec deck fly","muscle":"Chest","pattern":"Chest isolation","equipment":"Chest press / pec deck machine","equipmentOptions":[["Chest press / pec deck machine"]],"optionalEquipment":[],"primaryFor":"Chest","difficulty":"Isolation","notes":"","rflOk":"Maybe","favourite":false,"updatedAt":"2026-07-19T15:45:00.000Z"},{"id":"EX089","name":"Landmine press","muscle":"Delts / Upper chest / Triceps","pattern":"Vertical press","equipment":"Barbell + plates + Landmine attachment","equipmentOptions":[["Barbell + plates","Landmine attachment"]],"optionalEquipment":[],"primaryFor":"Vertical press","difficulty":"Substitution","notes":"","rflOk":"Yes","favourite":false,"updatedAt":"2026-07-19T15:45:00.000Z"},{"id":"EX090","name":"Arnold press","muscle":"Delts / Triceps","pattern":"Vertical press","equipment":"Dumbbells + Bench","equipmentOptions":[["Dumbbells","Bench"]],"optionalEquipment":[],"primaryFor":"Vertical press","difficulty":"Substitution","notes":"","rflOk":"Yes","favourite":false,"updatedAt":"2026-07-19T15:45:00.000Z"},{"id":"EX091","name":"Dumbbell pullover","muscle":"Lats / Chest","pattern":"Pullover","equipment":"Dumbbells + Bench","equipmentOptions":[["Dumbbells","Bench"]],"optionalEquipment":[],"primaryFor":"Pullover","difficulty":"Substitution","notes":"","rflOk":"Yes","favourite":false,"updatedAt":"2026-07-19T15:45:00.000Z"},{"id":"EX092","name":"Landmine T-bar row","muscle":"Upper back / Lats","pattern":"Horizontal pull","equipment":"Barbell + plates + Landmine attachment","equipmentOptions":[["Barbell + plates","Landmine attachment"]],"optionalEquipment":[],"primaryFor":"Horizontal pull","difficulty":"Main lift","notes":"","rflOk":"Yes","favourite":false,"updatedAt":"2026-07-19T15:45:00.000Z"},{"id":"EX093","name":"Band row","muscle":"Upper back / Lats","pattern":"Horizontal pull","equipment":"Resistance bands / tubes + Secure band anchor","equipmentOptions":[["Resistance bands / tubes","Secure band anchor"]],"optionalEquipment":[],"primaryFor":"Horizontal pull","difficulty":"Substitution","notes":"","rflOk":"Yes","favourite":false,"updatedAt":"2026-07-19T15:45:00.000Z"},{"id":"EX094","name":"Band lat pulldown","muscle":"Lats","pattern":"Vertical pull","equipment":"Resistance bands / tubes + High band anchor","equipmentOptions":[["Resistance bands / tubes","High band anchor"]],"optionalEquipment":[],"primaryFor":"Vertical pull","difficulty":"Substitution","notes":"","rflOk":"Yes","favourite":false,"updatedAt":"2026-07-19T15:45:00.000Z"},{"id":"EX095","name":"Pull-up","muscle":"Lats / Biceps","pattern":"Vertical pull","equipment":"Pull-up bar","equipmentOptions":[["Pull-up bar"]],"optionalEquipment":["Resistance bands / tubes","Dip belt / loading belt"],"primaryFor":"Vertical pull","difficulty":"Main lift","notes":"","rflOk":"Yes","favourite":false,"updatedAt":"2026-07-19T15:45:00.000Z"},{"id":"EX096","name":"Band-assisted pull-up","muscle":"Lats / Biceps","pattern":"Vertical pull","equipment":"Pull-up bar + Resistance bands / tubes","equipmentOptions":[["Pull-up bar","Resistance bands / tubes"]],"optionalEquipment":[],"primaryFor":"Vertical pull","difficulty":"Substitution","notes":"","rflOk":"Yes","favourite":false,"updatedAt":"2026-07-19T15:45:00.000Z"},{"id":"EX097","name":"Dumbbell rear-delt fly","muscle":"Rear delts / Upper back","pattern":"Rear delt","equipment":"Dumbbells","equipmentOptions":[["Dumbbells"]],"optionalEquipment":[],"primaryFor":"Rear delt","difficulty":"Isolation","notes":"","rflOk":"Yes","favourite":false,"updatedAt":"2026-07-19T15:45:00.000Z"},{"id":"EX098","name":"Reverse pec deck","muscle":"Rear delts / Upper back","pattern":"Rear delt","equipment":"Chest press / pec deck machine","equipmentOptions":[["Chest press / pec deck machine"]],"optionalEquipment":[],"primaryFor":"Rear delt","difficulty":"Isolation","notes":"","rflOk":"Yes","favourite":false,"updatedAt":"2026-07-19T15:45:00.000Z"},{"id":"EX099","name":"Band face pull","muscle":"Rear delts / Upper back","pattern":"Rear delt / external rotation","equipment":"Resistance bands / tubes + High band anchor","equipmentOptions":[["Resistance bands / tubes","High band anchor"]],"optionalEquipment":[],"primaryFor":"Rear delt","difficulty":"Isolation","notes":"","rflOk":"Yes","favourite":false,"updatedAt":"2026-07-19T15:45:00.000Z"},{"id":"EX100","name":"Band lateral raise","muscle":"Side delts","pattern":"Lateral raise","equipment":"Resistance bands / tubes","equipmentOptions":[["Resistance bands / tubes"]],"optionalEquipment":[],"primaryFor":"Lateral raise","difficulty":"Isolation","notes":"","rflOk":"Yes","favourite":false,"updatedAt":"2026-07-19T15:45:00.000Z"},{"id":"EX101","name":"EZ-bar curl","muscle":"Biceps","pattern":"Elbow flexion","equipment":"EZ curl bar + Barbell plates","equipmentOptions":[["EZ curl bar","Barbell plates"]],"optionalEquipment":[],"primaryFor":"Elbow flexion","difficulty":"Isolation","notes":"","rflOk":"Yes","favourite":false,"updatedAt":"2026-07-19T15:45:00.000Z"},{"id":"EX102","name":"Preacher curl","muscle":"Biceps","pattern":"Elbow flexion","equipment":"Preacher curl bench + EZ curl bar + Barbell plates OR Preacher curl bench + Dumbbells","equipmentOptions":[["Preacher curl bench","EZ curl bar","Barbell plates"],["Preacher curl bench","Dumbbells"]],"optionalEquipment":[],"primaryFor":"Elbow flexion","difficulty":"Isolation","notes":"","rflOk":"Yes","favourite":false,"updatedAt":"2026-07-19T15:45:00.000Z"},{"id":"EX103","name":"Band curl","muscle":"Biceps","pattern":"Elbow flexion","equipment":"Resistance bands / tubes","equipmentOptions":[["Resistance bands / tubes"]],"optionalEquipment":[],"primaryFor":"Elbow flexion","difficulty":"Isolation","notes":"","rflOk":"Yes","favourite":false,"updatedAt":"2026-07-19T15:45:00.000Z"},{"id":"EX104","name":"EZ-bar skull crusher","muscle":"Triceps","pattern":"Elbow extension","equipment":"EZ curl bar + Barbell plates + Bench","equipmentOptions":[["EZ curl bar","Barbell plates","Bench"]],"optionalEquipment":[],"primaryFor":"Elbow extension","difficulty":"Isolation","notes":"","rflOk":"Yes","favourite":false,"updatedAt":"2026-07-19T15:45:00.000Z"},{"id":"EX105","name":"Band triceps pushdown","muscle":"Triceps","pattern":"Elbow extension","equipment":"Resistance bands / tubes + High band anchor","equipmentOptions":[["Resistance bands / tubes","High band anchor"]],"optionalEquipment":[],"primaryFor":"Elbow extension","difficulty":"Isolation","notes":"","rflOk":"Yes","favourite":false,"updatedAt":"2026-07-19T15:45:00.000Z"},{"id":"EX106","name":"Close-grip push-up","muscle":"Triceps / Chest","pattern":"Horizontal press","equipment":"Bodyweight / floor space","equipmentOptions":[["Bodyweight / floor space"]],"optionalEquipment":["Resistance bands / tubes","Weighted vest"],"primaryFor":"Horizontal press","difficulty":"Substitution","notes":"","rflOk":"Yes","favourite":false,"updatedAt":"2026-07-19T15:45:00.000Z"},{"id":"EX107","name":"Stability-ball crunch","muscle":"Abs","pattern":"Spinal flexion","equipment":"Stability ball","equipmentOptions":[["Stability ball"]],"optionalEquipment":[],"primaryFor":"Core","difficulty":"Isolation","notes":"","rflOk":"Yes","favourite":false,"updatedAt":"2026-07-19T15:45:00.000Z"},{"id":"EX108","name":"Reverse crunch","muscle":"Abs","pattern":"Spinal flexion","equipment":"Bodyweight / floor space","equipmentOptions":[["Bodyweight / floor space"]],"optionalEquipment":[],"primaryFor":"Core","difficulty":"Substitution","notes":"","rflOk":"Yes","favourite":false,"updatedAt":"2026-07-19T15:45:00.000Z"},{"id":"EX109","name":"Side plank","muscle":"Obliques / Core","pattern":"Anti-lateral flexion","equipment":"Bodyweight / floor space","equipmentOptions":[["Bodyweight / floor space"]],"optionalEquipment":[],"primaryFor":"Core","difficulty":"Substitution","notes":"","rflOk":"Yes","favourite":false,"updatedAt":"2026-07-19T15:45:00.000Z"},{"id":"EX110","name":"Farmer carry","muscle":"Grip / Traps / Core","pattern":"Loaded carry","equipment":"Dumbbells OR Kettlebells","equipmentOptions":[["Dumbbells"],["Kettlebells"]],"optionalEquipment":[],"primaryFor":"Loaded carry","difficulty":"Substitution","notes":"","rflOk":"Maybe","favourite":false,"updatedAt":"2026-07-19T15:45:00.000Z"},{"id":"EX111","name":"Suitcase carry","muscle":"Core / Grip","pattern":"Loaded carry","equipment":"Dumbbells OR Kettlebells","equipmentOptions":[["Dumbbells"],["Kettlebells"]],"optionalEquipment":[],"primaryFor":"Loaded carry","difficulty":"Substitution","notes":"","rflOk":"Maybe","favourite":false,"updatedAt":"2026-07-19T15:45:00.000Z"},{"id":"EX112","name":"Trap-bar carry","muscle":"Grip / Traps / Core","pattern":"Loaded carry","equipment":"Trap / hex bar + Barbell plates","equipmentOptions":[["Trap / hex bar","Barbell plates"]],"optionalEquipment":[],"primaryFor":"Loaded carry","difficulty":"Substitution","notes":"","rflOk":"Maybe","favourite":false,"updatedAt":"2026-07-19T15:45:00.000Z"},{"id":"EX113","name":"Rowing machine","muscle":"Cardio / Recovery","pattern":"Aerobic","equipment":"Rowing machine","equipmentOptions":[["Rowing machine"]],"optionalEquipment":[],"primaryFor":"Cardio","difficulty":"Conditioning","notes":"","rflOk":"Maybe","favourite":false,"updatedAt":"2026-07-19T15:45:00.000Z"},{"id":"EX114","name":"Elliptical","muscle":"Cardio / Recovery","pattern":"Aerobic","equipment":"Elliptical / cross trainer","equipmentOptions":[["Elliptical / cross trainer"]],"optionalEquipment":[],"primaryFor":"Cardio","difficulty":"Conditioning","notes":"","rflOk":"Yes","favourite":false,"updatedAt":"2026-07-19T15:45:00.000Z"},{"id":"EX115","name":"Jump rope","muscle":"Cardio / Calves","pattern":"Conditioning","equipment":"Jump rope","equipmentOptions":[["Jump rope"]],"optionalEquipment":[],"primaryFor":"Conditioning","difficulty":"Conditioning","notes":"","rflOk":"Maybe","favourite":false,"updatedAt":"2026-07-19T15:45:00.000Z"},{"id":"EX116","name":"Sled push","muscle":"Quads / Conditioning","pattern":"Conditioning","equipment":"Weight sled / prowler","equipmentOptions":[["Weight sled / prowler"]],"optionalEquipment":[],"primaryFor":"Conditioning","difficulty":"Conditioning","notes":"","rflOk":"Maybe","favourite":false,"updatedAt":"2026-07-19T15:45:00.000Z"},{"id":"EX117","name":"Medicine-ball slam","muscle":"Full body / Conditioning","pattern":"Conditioning","equipment":"Medicine ball","equipmentOptions":[["Medicine ball"]],"optionalEquipment":[],"primaryFor":"Conditioning","difficulty":"Conditioning","notes":"","rflOk":"Maybe","favourite":false,"updatedAt":"2026-07-19T15:45:00.000Z"},{"id":"EX118","name":"Sandbag carry","muscle":"Full body / Grip","pattern":"Loaded carry","equipment":"Sandbag","equipmentOptions":[["Sandbag"]],"optionalEquipment":[],"primaryFor":"Loaded carry","difficulty":"Conditioning","notes":"","rflOk":"Maybe","favourite":false,"updatedAt":"2026-07-19T15:45:00.000Z"},{"id":"EX119","name":"Kettlebell goblet squat","muscle":"Quads / Glutes","pattern":"Squat","equipment":"Kettlebells","equipmentOptions":[["Kettlebells"]],"optionalEquipment":[],"primaryFor":"Squat","difficulty":"Substitution","notes":"","rflOk":"Yes","favourite":false,"updatedAt":"2026-07-19T15:45:00.000Z"},{"id":"EX120","name":"Slant-board squat","muscle":"Quads","pattern":"Squat","equipment":"Slant board / heel wedge","equipmentOptions":[["Slant board / heel wedge"]],"optionalEquipment":["Dumbbells","Kettlebells","Weighted vest"],"primaryFor":"Squat","difficulty":"Substitution","notes":"","rflOk":"Yes","favourite":false,"updatedAt":"2026-07-19T15:45:00.000Z"},{"id":"EX121","name":"Smith-machine hip thrust","muscle":"Glutes / Hamstrings","pattern":"Hip extension","equipment":"Smith machine + Bench","equipmentOptions":[["Smith machine","Bench"]],"optionalEquipment":[],"primaryFor":"Hip extension","difficulty":"Main lift","notes":"","rflOk":"Yes","favourite":false,"updatedAt":"2026-07-19T15:45:00.000Z"},{"id":"EX122","name":"Swiss-bar bench press","muscle":"Chest / Triceps","pattern":"Horizontal press","equipment":"Power rack / squat stands + Swiss / football bar + Barbell plates + Bench","equipmentOptions":[["Power rack / squat stands","Swiss / football bar","Barbell plates","Bench"]],"optionalEquipment":[],"primaryFor":"Horizontal press","difficulty":"Main lift","notes":"Neutral grips may be shoulder friendly.","rflOk":"Yes","favourite":false,"updatedAt":"2026-07-19T15:45:00.000Z"},{"id":"EX123","name":"Band Pallof press","muscle":"Core","pattern":"Anti-rotation","equipment":"Resistance bands / tubes + Secure band anchor","equipmentOptions":[["Resistance bands / tubes","Secure band anchor"]],"optionalEquipment":[],"primaryFor":"Core","difficulty":"Substitution","notes":"","rflOk":"Yes","favourite":false,"updatedAt":"2026-07-19T15:45:00.000Z"},{"id":"EX124","name":"Dead bug or Pallof press","muscle":"Core","pattern":"Anti-extension / anti-rotation","equipment":"Bodyweight / floor space OR Cable station OR Resistance bands / tubes + Secure band anchor","equipmentOptions":[["Bodyweight / floor space"],["Cable station"],["Resistance bands / tubes","Secure band anchor"]],"optionalEquipment":[],"primaryFor":"Core","difficulty":"Substitution","notes":"","rflOk":"Yes","favourite":false,"updatedAt":"2026-07-19T15:45:00.000Z"},{"id":"EX125","name":"Cable lat pulldown or ring chin-up","muscle":"Lats / Biceps","pattern":"Vertical pull","equipment":"Cable station OR Lat pulldown / low row machine OR Gymnastic rings / suspension trainer","equipmentOptions":[["Cable station"],["Lat pulldown / low row machine"],["Gymnastic rings / suspension trainer"]],"optionalEquipment":[],"primaryFor":"Vertical pull","difficulty":"Substitution","notes":"","rflOk":"Yes","favourite":false,"updatedAt":"2026-07-19T15:45:00.000Z"},{"id":"EX126","name":"Incline dumbbell or cable curl","muscle":"Biceps","pattern":"Elbow flexion","equipment":"Dumbbells + Adjustable bench OR Cable station","equipmentOptions":[["Dumbbells","Adjustable bench"],["Cable station"]],"optionalEquipment":[],"primaryFor":"Elbow flexion","difficulty":"Isolation","notes":"","rflOk":"Yes","favourite":false,"updatedAt":"2026-07-19T15:45:00.000Z"},{"id":"EX127","name":"Front squat or heels-elevated squat","muscle":"Quads / Glutes","pattern":"Squat","equipment":"Power rack / squat stands + Barbell + plates OR Dumbbells","equipmentOptions":[["Power rack / squat stands","Barbell + plates"],["Dumbbells"]],"optionalEquipment":["Slant board / heel wedge"],"primaryFor":"Squat","difficulty":"Main lift","notes":"","rflOk":"Yes","favourite":false,"updatedAt":"2026-07-19T15:45:00.000Z"},{"id":"EX128","name":"Ab wheel or cable crunch","muscle":"Abs / Core","pattern":"Core","equipment":"Ab wheel OR Cable station","equipmentOptions":[["Ab wheel"],["Cable station"]],"optionalEquipment":[],"primaryFor":"Core","difficulty":"Substitution","notes":"","rflOk":"Yes","favourite":false,"updatedAt":"2026-07-19T15:45:00.000Z"},{"id":"EX129","name":"Weighted chin-up or heavy pulldown","muscle":"Lats / Biceps","pattern":"Vertical pull","equipment":"Pull-up bar + Dip belt / loading belt OR Cable station OR Lat pulldown / low row machine","equipmentOptions":[["Pull-up bar","Dip belt / loading belt"],["Cable station"],["Lat pulldown / low row machine"]],"optionalEquipment":[],"primaryFor":"Vertical pull","difficulty":"Main lift","notes":"","rflOk":"Yes","favourite":false,"updatedAt":"2026-07-19T15:45:00.000Z"},{"id":"EX130","name":"Close-grip bench press or weighted ring push-up","muscle":"Triceps / Chest","pattern":"Horizontal press","equipment":"Power rack / squat stands + Barbell + plates + Bench OR Gymnastic rings / suspension trainer","equipmentOptions":[["Power rack / squat stands","Barbell + plates","Bench"],["Gymnastic rings / suspension trainer"]],"optionalEquipment":[],"primaryFor":"Horizontal press","difficulty":"Substitution","notes":"","rflOk":"Yes","favourite":false,"updatedAt":"2026-07-19T15:45:00.000Z"},{"id":"EX131","name":"Cable rear-delt fly or face pull","muscle":"Rear delts / Upper back","pattern":"Rear delt","equipment":"Cable station OR Cable station + Rope cable attachment","equipmentOptions":[["Cable station"],["Cable station","Rope cable attachment"]],"optionalEquipment":[],"primaryFor":"Rear delt","difficulty":"Isolation","notes":"","rflOk":"Yes","favourite":false,"updatedAt":"2026-07-19T15:45:00.000Z"},{"id":"EX132","name":"Romanian deadlift or hip thrust","muscle":"Hamstrings / Glutes","pattern":"Hip hinge / extension","equipment":"Barbell + plates OR Dumbbells OR Kettlebells OR Barbell + plates + Bench OR Smith machine + Bench","equipmentOptions":[["Barbell + plates"],["Dumbbells"],["Kettlebells"],["Barbell + plates","Bench"],["Smith machine","Bench"]],"optionalEquipment":[],"primaryFor":"Hip hinge","difficulty":"Main lift","notes":"","rflOk":"Yes","favourite":false,"updatedAt":"2026-07-19T15:45:00.000Z"},{"id":"EX133","name":"Front squat or Bulgarian split squat","muscle":"Quads / Glutes","pattern":"Squat / single-leg","equipment":"Power rack / squat stands + Barbell + plates OR Bench or box","equipmentOptions":[["Power rack / squat stands","Barbell + plates"],["Bench or box"]],"optionalEquipment":["Dumbbells"],"primaryFor":"Squat","difficulty":"Main lift","notes":"","rflOk":"Yes","favourite":false,"updatedAt":"2026-07-19T15:45:00.000Z"},{"id":"EX134","name":"Pulldown or chin-up","muscle":"Lats / Biceps","pattern":"Vertical pull","equipment":"Cable station OR Lat pulldown / low row machine OR Pull-up bar OR Gymnastic rings / suspension trainer","equipmentOptions":[["Cable station"],["Lat pulldown / low row machine"],["Pull-up bar"],["Gymnastic rings / suspension trainer"]],"optionalEquipment":[],"primaryFor":"Vertical pull","difficulty":"Substitution","notes":"","rflOk":"Yes","favourite":false,"updatedAt":"2026-07-19T15:45:00.000Z"},{"id":"EX135","name":"Hip thrust or cable leg curl","muscle":"Glutes / Hamstrings","pattern":"Hip extension / knee flexion","equipment":"Barbell + plates + Bench OR Smith machine + Bench OR Cable station + Ankle strap OR Leg curl machine","equipmentOptions":[["Barbell + plates","Bench"],["Smith machine","Bench"],["Cable station","Ankle strap"],["Leg curl machine"]],"optionalEquipment":[],"primaryFor":"Hip extension","difficulty":"Substitution","notes":"","rflOk":"Yes","favourite":false,"updatedAt":"2026-07-19T15:45:00.000Z"},{"id":"EX136","name":"Hammer curl","muscle":"Biceps / Brachialis","pattern":"Elbow flexion","equipment":"Dumbbells OR Cable station OR Resistance bands / tubes","equipmentOptions":[["Dumbbells"],["Cable station"],["Resistance bands / tubes"]],"optionalEquipment":[],"primaryFor":"Elbow flexion","difficulty":"Isolation","notes":"","rflOk":"Yes","favourite":false,"updatedAt":"2026-07-19T15:45:00.000Z"},{"id":"EX137","name":"Overhead triceps extension","muscle":"Triceps long head","pattern":"Elbow extension","equipment":"Cable station + Rope cable attachment OR Dumbbells OR EZ curl bar + Barbell plates + Bench OR Resistance bands / tubes + High band anchor","equipmentOptions":[["Cable station","Rope cable attachment"],["Dumbbells"],["EZ curl bar","Barbell plates","Bench"],["Resistance bands / tubes","High band anchor"]],"optionalEquipment":[],"primaryFor":"Elbow extension","difficulty":"Isolation","notes":"","rflOk":"Yes","favourite":false,"updatedAt":"2026-07-19T15:45:00.000Z"}],"alternatives":[{"defaultExercise":"High-bar back squat","alternative":"Front squat","reason":"Back feels taxed","notes":"More upright torso.","id":"ALT001","updatedAt":"2026-07-19T10:00:00.000Z"},{"defaultExercise":"High-bar back squat","alternative":"Heels-elevated squat","reason":"Need more quad bias","notes":"Can use dumbbells or barbell.","id":"ALT002","updatedAt":"2026-07-19T10:00:00.000Z"},{"defaultExercise":"High-bar back squat","alternative":"Box squat","reason":"Need controlled depth","notes":"Use safety pins and a stable box.","id":"ALT003","updatedAt":"2026-07-19T10:00:00.000Z"},{"defaultExercise":"High-bar back squat","alternative":"Goblet squat","reason":"Deload or warm-up","notes":"Lower loading.","id":"ALT004","updatedAt":"2026-07-19T10:00:00.000Z"},{"defaultExercise":"Front squat or heels-elevated squat","alternative":"High-bar back squat","reason":"Front rack uncomfortable","notes":"Return to standard squat if back tolerates it.","id":"ALT005","updatedAt":"2026-07-19T10:00:00.000Z"},{"defaultExercise":"Front squat or heels-elevated squat","alternative":"Bulgarian split squat","reason":"Back-sensitive day","notes":"Hard leg stimulus with less spinal loading.","id":"ALT006","updatedAt":"2026-07-19T10:00:00.000Z"},{"defaultExercise":"Romanian deadlift","alternative":"Barbell hip thrust","reason":"Lower back discomfort","notes":"Default replacement.","id":"ALT007","updatedAt":"2026-07-19T10:00:00.000Z"},{"defaultExercise":"Romanian deadlift","alternative":"Cable pull-through","reason":"Lower back discomfort","notes":"Cable hinge pattern.","id":"ALT008","updatedAt":"2026-07-19T10:00:00.000Z"},{"defaultExercise":"Romanian deadlift","alternative":"Dumbbell Romanian deadlift","reason":"Technique practice","notes":"Smaller load increments.","id":"ALT009","updatedAt":"2026-07-19T10:00:00.000Z"},{"defaultExercise":"Romanian deadlift or hip thrust","alternative":"Barbell hip thrust","reason":"RFL fatigue","notes":"Back-friendly option.","id":"ALT010","updatedAt":"2026-07-19T10:00:00.000Z"},{"defaultExercise":"Romanian deadlift or hip thrust","alternative":"Cable pull-through","reason":"Back-sensitive day","notes":"Keep RIR 2-3.","id":"ALT011","updatedAt":"2026-07-19T10:00:00.000Z"},{"defaultExercise":"Barbell hip thrust","alternative":"Cable pull-through","reason":"Bench setup unavailable","notes":"Good cable substitute.","id":"ALT012","updatedAt":"2026-07-19T10:00:00.000Z"},{"defaultExercise":"Barbell bench press","alternative":"Dumbbell bench press","reason":"Shoulder comfort","notes":"Greater freedom of movement.","id":"ALT013","updatedAt":"2026-07-19T10:00:00.000Z"},{"defaultExercise":"Barbell bench press","alternative":"Floor press","reason":"Shoulder range limitation","notes":"Reduced bottom range.","id":"ALT014","updatedAt":"2026-07-19T10:00:00.000Z"},{"defaultExercise":"Barbell bench press","alternative":"Weighted ring push-up","reason":"Want shoulder-friendly press","notes":"Progress with load/body angle.","id":"ALT015","updatedAt":"2026-07-19T10:00:00.000Z"},{"defaultExercise":"Incline dumbbell press","alternative":"Dumbbell bench press","reason":"Incline setup unavailable","notes":"Flat press substitute.","id":"ALT016","updatedAt":"2026-07-19T10:00:00.000Z"},{"defaultExercise":"Incline dumbbell or seated dumbbell press","alternative":"Seated dumbbell overhead press","reason":"Prefer vertical press","notes":"RFL press slot.","id":"ALT017","updatedAt":"2026-07-19T10:00:00.000Z"},{"defaultExercise":"Incline dumbbell or seated dumbbell press","alternative":"Incline dumbbell press","reason":"Prefer chest emphasis","notes":"RFL press slot.","id":"ALT018","updatedAt":"2026-07-19T10:00:00.000Z"},{"defaultExercise":"Chest-supported dumbbell row","alternative":"Seated cable row","reason":"Bench unavailable","notes":"Stable cable row.","id":"ALT019","updatedAt":"2026-07-19T10:00:00.000Z"},{"defaultExercise":"Chest-supported dumbbell row","alternative":"One-arm cable row","reason":"Need unilateral work","notes":"Control torso.","id":"ALT020","updatedAt":"2026-07-19T10:00:00.000Z"},{"defaultExercise":"Chest-supported dumbbell row","alternative":"Inverted row","reason":"No dumbbell setup","notes":"Bodyweight row.","id":"ALT021","updatedAt":"2026-07-19T10:00:00.000Z"},{"defaultExercise":"One-arm cable row","alternative":"Seated cable row","reason":"Want bilateral row","notes":"Use cable station.","id":"ALT022","updatedAt":"2026-07-19T10:00:00.000Z"},{"defaultExercise":"Weighted chin-up or heavy pulldown","alternative":"Cable lat pulldown","reason":"Chin-ups not ready","notes":"Progress load on cable.","id":"ALT023","updatedAt":"2026-07-19T10:00:00.000Z"},{"defaultExercise":"Weighted chin-up or heavy pulldown","alternative":"Weighted chin-up","reason":"Strong chin-ups","notes":"Use clean reps only.","id":"ALT024","updatedAt":"2026-07-19T10:00:00.000Z"},{"defaultExercise":"Cable lat pulldown or ring chin-up","alternative":"Cable lat pulldown","reason":"Need stable load","notes":"Good progression.","id":"ALT025","updatedAt":"2026-07-19T10:00:00.000Z"},{"defaultExercise":"Cable lat pulldown or ring chin-up","alternative":"Ring chin-up","reason":"Want bodyweight progression","notes":"Use assistance as required.","id":"ALT026","updatedAt":"2026-07-19T10:00:00.000Z"},{"defaultExercise":"Pulldown or chin-up","alternative":"Cable lat pulldown","reason":"RFL fatigue","notes":"Easy load control.","id":"ALT027","updatedAt":"2026-07-19T10:00:00.000Z"},{"defaultExercise":"Pulldown or chin-up","alternative":"Ring chin-up","reason":"Bodyweight option","notes":"Keep 2-3 RIR in RFL.","id":"ALT028","updatedAt":"2026-07-19T10:00:00.000Z"},{"defaultExercise":"Seated dumbbell overhead press","alternative":"Incline dumbbell press","reason":"Shoulder irritation","notes":"Use pain-free angle.","id":"ALT029","updatedAt":"2026-07-19T10:00:00.000Z"},{"defaultExercise":"Seated dumbbell overhead press","alternative":"Standing overhead press","reason":"Want barbell progression","notes":"Only if lower back feels stable.","id":"ALT030","updatedAt":"2026-07-19T10:00:00.000Z"},{"defaultExercise":"Cable lateral raise","alternative":"Dumbbell lateral raise","reason":"Cable unavailable","notes":"Keep strict and controlled.","id":"ALT031","updatedAt":"2026-07-19T10:00:00.000Z"},{"defaultExercise":"Cable lateral raise","alternative":"Lean-away cable lateral raise","reason":"Need different line of pull","notes":"Stay light.","id":"ALT032","updatedAt":"2026-07-19T10:00:00.000Z"},{"defaultExercise":"Cable rear-delt fly or face pull","alternative":"Cable rear-delt fly","reason":"Rear delt emphasis","notes":"Strict reps.","id":"ALT033","updatedAt":"2026-07-19T10:00:00.000Z"},{"defaultExercise":"Cable rear-delt fly or face pull","alternative":"Face pull","reason":"Shoulder-health emphasis","notes":"Use rope attachment.","id":"ALT034","updatedAt":"2026-07-19T10:00:00.000Z"},{"defaultExercise":"Rear-delt cable fly","alternative":"Face pull","reason":"Shoulder-friendly substitute","notes":"Keep elbows high.","id":"ALT035","updatedAt":"2026-07-19T10:00:00.000Z"},{"defaultExercise":"Cable triceps pushdown","alternative":"Overhead cable triceps extension","reason":"Need long-head work","notes":"Use pain-free elbow path.","id":"ALT036","updatedAt":"2026-07-19T10:00:00.000Z"},{"defaultExercise":"Overhead cable triceps extension","alternative":"Cable triceps pushdown","reason":"Elbow discomfort","notes":"Often more comfortable.","id":"ALT037","updatedAt":"2026-07-19T10:00:00.000Z"},{"defaultExercise":"Incline dumbbell or cable curl","alternative":"Cable curl","reason":"Elbow-friendly tension","notes":"Good default.","id":"ALT038","updatedAt":"2026-07-19T10:00:00.000Z"},{"defaultExercise":"Incline dumbbell or cable curl","alternative":"Incline dumbbell curl","reason":"Stretch emphasis","notes":"Use controlled range.","id":"ALT039","updatedAt":"2026-07-19T10:00:00.000Z"},{"defaultExercise":"Dumbbell hammer curl","alternative":"Cable curl","reason":"Elbow discomfort","notes":"Cable may feel smoother.","id":"ALT040","updatedAt":"2026-07-19T10:00:00.000Z"},{"defaultExercise":"Dead bug or Pallof press","alternative":"Dead bug","reason":"No cable needed","notes":"Low fatigue core.","id":"ALT041","updatedAt":"2026-07-19T10:00:00.000Z"},{"defaultExercise":"Dead bug or Pallof press","alternative":"Pallof press","reason":"Anti-rotation focus","notes":"Cable setup.","id":"ALT042","updatedAt":"2026-07-19T10:00:00.000Z"},{"defaultExercise":"Ab wheel or cable crunch","alternative":"Cable crunch","reason":"Lower back sensitivity","notes":"Easier to control.","id":"ALT043","updatedAt":"2026-07-19T10:00:00.000Z"},{"defaultExercise":"Ab wheel or cable crunch","alternative":"Dead bug","reason":"Fatigued RFL day","notes":"Lowest-risk option.","id":"ALT044","updatedAt":"2026-07-19T10:00:00.000Z"},{"id":"ALT045","defaultExercise":"High-bar back squat","alternative":"Safety-bar squat","reason":"Equipment match","notes":"Equipment-compatible option.","updatedAt":"2026-07-19T15:45:00.000Z"},{"id":"ALT046","defaultExercise":"High-bar back squat","alternative":"Smith-machine squat","reason":"Equipment match","notes":"Equipment-compatible option.","updatedAt":"2026-07-19T15:45:00.000Z"},{"id":"ALT047","defaultExercise":"High-bar back squat","alternative":"Landmine squat","reason":"Equipment match","notes":"Equipment-compatible option.","updatedAt":"2026-07-19T15:45:00.000Z"},{"id":"ALT048","defaultExercise":"High-bar back squat","alternative":"Leg press","reason":"Equipment match","notes":"Equipment-compatible option.","updatedAt":"2026-07-19T15:45:00.000Z"},{"id":"ALT049","defaultExercise":"High-bar back squat","alternative":"Hack squat","reason":"Equipment match","notes":"Equipment-compatible option.","updatedAt":"2026-07-19T15:45:00.000Z"},{"id":"ALT050","defaultExercise":"High-bar back squat","alternative":"Kettlebell goblet squat","reason":"Equipment match","notes":"Equipment-compatible option.","updatedAt":"2026-07-19T15:45:00.000Z"},{"id":"ALT051","defaultExercise":"High-bar back squat","alternative":"Bodyweight split squat","reason":"Equipment match","notes":"Equipment-compatible option.","updatedAt":"2026-07-19T15:45:00.000Z"},{"id":"ALT052","defaultExercise":"Front squat or heels-elevated squat","alternative":"Front squat","reason":"Equipment match","notes":"Equipment-compatible option.","updatedAt":"2026-07-19T15:45:00.000Z"},{"id":"ALT053","defaultExercise":"Front squat or heels-elevated squat","alternative":"Goblet squat","reason":"Equipment match","notes":"Equipment-compatible option.","updatedAt":"2026-07-19T15:45:00.000Z"},{"id":"ALT054","defaultExercise":"Front squat or heels-elevated squat","alternative":"Landmine squat","reason":"Equipment match","notes":"Equipment-compatible option.","updatedAt":"2026-07-19T15:45:00.000Z"},{"id":"ALT055","defaultExercise":"Front squat or heels-elevated squat","alternative":"Leg press","reason":"Equipment match","notes":"Equipment-compatible option.","updatedAt":"2026-07-19T15:45:00.000Z"},{"id":"ALT056","defaultExercise":"Front squat or heels-elevated squat","alternative":"Hack squat","reason":"Equipment match","notes":"Equipment-compatible option.","updatedAt":"2026-07-19T15:45:00.000Z"},{"id":"ALT057","defaultExercise":"Front squat or heels-elevated squat","alternative":"Smith-machine squat","reason":"Equipment match","notes":"Equipment-compatible option.","updatedAt":"2026-07-19T15:45:00.000Z"},{"id":"ALT058","defaultExercise":"Front squat or heels-elevated squat","alternative":"Slant-board squat","reason":"Equipment match","notes":"Equipment-compatible option.","updatedAt":"2026-07-19T15:45:00.000Z"},{"id":"ALT059","defaultExercise":"Front squat or Bulgarian split squat","alternative":"Front squat","reason":"Equipment match","notes":"Equipment-compatible option.","updatedAt":"2026-07-19T15:45:00.000Z"},{"id":"ALT060","defaultExercise":"Front squat or Bulgarian split squat","alternative":"Bulgarian split squat","reason":"Equipment match","notes":"Equipment-compatible option.","updatedAt":"2026-07-19T15:45:00.000Z"},{"id":"ALT061","defaultExercise":"Front squat or Bulgarian split squat","alternative":"Goblet squat","reason":"Equipment match","notes":"Equipment-compatible option.","updatedAt":"2026-07-19T15:45:00.000Z"},{"id":"ALT062","defaultExercise":"Front squat or Bulgarian split squat","alternative":"Leg press","reason":"Equipment match","notes":"Equipment-compatible option.","updatedAt":"2026-07-19T15:45:00.000Z"},{"id":"ALT063","defaultExercise":"Front squat or Bulgarian split squat","alternative":"Hack squat","reason":"Equipment match","notes":"Equipment-compatible option.","updatedAt":"2026-07-19T15:45:00.000Z"},{"id":"ALT064","defaultExercise":"Front squat or Bulgarian split squat","alternative":"Bodyweight split squat","reason":"Equipment match","notes":"Equipment-compatible option.","updatedAt":"2026-07-19T15:45:00.000Z"},{"id":"ALT065","defaultExercise":"Romanian deadlift","alternative":"Kettlebell Romanian deadlift","reason":"Equipment match","notes":"Equipment-compatible option.","updatedAt":"2026-07-19T15:45:00.000Z"},{"id":"ALT066","defaultExercise":"Romanian deadlift","alternative":"Trap-bar deadlift","reason":"Equipment match","notes":"Equipment-compatible option.","updatedAt":"2026-07-19T15:45:00.000Z"},{"id":"ALT067","defaultExercise":"Romanian deadlift","alternative":"Stability-ball leg curl","reason":"Equipment match","notes":"Equipment-compatible option.","updatedAt":"2026-07-19T15:45:00.000Z"},{"id":"ALT068","defaultExercise":"Romanian deadlift or hip thrust","alternative":"Romanian deadlift","reason":"Equipment match","notes":"Equipment-compatible option.","updatedAt":"2026-07-19T15:45:00.000Z"},{"id":"ALT069","defaultExercise":"Romanian deadlift or hip thrust","alternative":"Dumbbell Romanian deadlift","reason":"Equipment match","notes":"Equipment-compatible option.","updatedAt":"2026-07-19T15:45:00.000Z"},{"id":"ALT070","defaultExercise":"Romanian deadlift or hip thrust","alternative":"Dumbbell hip thrust","reason":"Equipment match","notes":"Equipment-compatible option.","updatedAt":"2026-07-19T15:45:00.000Z"},{"id":"ALT071","defaultExercise":"Romanian deadlift or hip thrust","alternative":"Smith-machine hip thrust","reason":"Equipment match","notes":"Equipment-compatible option.","updatedAt":"2026-07-19T15:45:00.000Z"},{"id":"ALT072","defaultExercise":"Romanian deadlift or hip thrust","alternative":"Glute bridge","reason":"Equipment match","notes":"Equipment-compatible option.","updatedAt":"2026-07-19T15:45:00.000Z"},{"id":"ALT073","defaultExercise":"Barbell hip thrust","alternative":"Dumbbell hip thrust","reason":"Equipment match","notes":"Equipment-compatible option.","updatedAt":"2026-07-19T15:45:00.000Z"},{"id":"ALT074","defaultExercise":"Barbell hip thrust","alternative":"Smith-machine hip thrust","reason":"Equipment match","notes":"Equipment-compatible option.","updatedAt":"2026-07-19T15:45:00.000Z"},{"id":"ALT075","defaultExercise":"Barbell hip thrust","alternative":"Glute bridge","reason":"Equipment match","notes":"Equipment-compatible option.","updatedAt":"2026-07-19T15:45:00.000Z"},{"id":"ALT076","defaultExercise":"Hip thrust or cable leg curl","alternative":"Barbell hip thrust","reason":"Equipment match","notes":"Equipment-compatible option.","updatedAt":"2026-07-19T15:45:00.000Z"},{"id":"ALT077","defaultExercise":"Hip thrust or cable leg curl","alternative":"Dumbbell hip thrust","reason":"Equipment match","notes":"Equipment-compatible option.","updatedAt":"2026-07-19T15:45:00.000Z"},{"id":"ALT078","defaultExercise":"Hip thrust or cable leg curl","alternative":"Smith-machine hip thrust","reason":"Equipment match","notes":"Equipment-compatible option.","updatedAt":"2026-07-19T15:45:00.000Z"},{"id":"ALT079","defaultExercise":"Hip thrust or cable leg curl","alternative":"Cable leg curl","reason":"Equipment match","notes":"Equipment-compatible option.","updatedAt":"2026-07-19T15:45:00.000Z"},{"id":"ALT080","defaultExercise":"Hip thrust or cable leg curl","alternative":"Seated leg curl","reason":"Equipment match","notes":"Equipment-compatible option.","updatedAt":"2026-07-19T15:45:00.000Z"},{"id":"ALT081","defaultExercise":"Hip thrust or cable leg curl","alternative":"Lying leg curl","reason":"Equipment match","notes":"Equipment-compatible option.","updatedAt":"2026-07-19T15:45:00.000Z"},{"id":"ALT082","defaultExercise":"Hip thrust or cable leg curl","alternative":"Banded leg curl","reason":"Equipment match","notes":"Equipment-compatible option.","updatedAt":"2026-07-19T15:45:00.000Z"},{"id":"ALT083","defaultExercise":"Hip thrust or cable leg curl","alternative":"Stability-ball leg curl","reason":"Equipment match","notes":"Equipment-compatible option.","updatedAt":"2026-07-19T15:45:00.000Z"},{"id":"ALT084","defaultExercise":"Bulgarian split squat","alternative":"Reverse lunge","reason":"Equipment match","notes":"Equipment-compatible option.","updatedAt":"2026-07-19T15:45:00.000Z"},{"id":"ALT085","defaultExercise":"Bulgarian split squat","alternative":"Step-up","reason":"Equipment match","notes":"Equipment-compatible option.","updatedAt":"2026-07-19T15:45:00.000Z"},{"id":"ALT086","defaultExercise":"Bulgarian split squat","alternative":"Walking lunge","reason":"Equipment match","notes":"Equipment-compatible option.","updatedAt":"2026-07-19T15:45:00.000Z"},{"id":"ALT087","defaultExercise":"Bulgarian split squat","alternative":"Bodyweight split squat","reason":"Equipment match","notes":"Equipment-compatible option.","updatedAt":"2026-07-19T15:45:00.000Z"},{"id":"ALT088","defaultExercise":"Bulgarian split squat","alternative":"Leg press","reason":"Equipment match","notes":"Equipment-compatible option.","updatedAt":"2026-07-19T15:45:00.000Z"},{"id":"ALT089","defaultExercise":"Cable leg curl","alternative":"Seated leg curl","reason":"Equipment match","notes":"Equipment-compatible option.","updatedAt":"2026-07-19T15:45:00.000Z"},{"id":"ALT090","defaultExercise":"Cable leg curl","alternative":"Lying leg curl","reason":"Equipment match","notes":"Equipment-compatible option.","updatedAt":"2026-07-19T15:45:00.000Z"},{"id":"ALT091","defaultExercise":"Cable leg curl","alternative":"Banded leg curl","reason":"Equipment match","notes":"Equipment-compatible option.","updatedAt":"2026-07-19T15:45:00.000Z"},{"id":"ALT092","defaultExercise":"Cable leg curl","alternative":"Stability-ball leg curl","reason":"Equipment match","notes":"Equipment-compatible option.","updatedAt":"2026-07-19T15:45:00.000Z"},{"id":"ALT093","defaultExercise":"Cable leg curl","alternative":"Nordic hamstring curl","reason":"Equipment match","notes":"Equipment-compatible option.","updatedAt":"2026-07-19T15:45:00.000Z"},{"id":"ALT094","defaultExercise":"Standing calf raise","alternative":"Single-leg calf raise","reason":"Equipment match","notes":"Equipment-compatible option.","updatedAt":"2026-07-19T15:45:00.000Z"},{"id":"ALT095","defaultExercise":"Standing calf raise","alternative":"Seated calf raise","reason":"Equipment match","notes":"Equipment-compatible option.","updatedAt":"2026-07-19T15:45:00.000Z"},{"id":"ALT096","defaultExercise":"Barbell bench press","alternative":"Push-up","reason":"Equipment match","notes":"Equipment-compatible option.","updatedAt":"2026-07-19T15:45:00.000Z"},{"id":"ALT097","defaultExercise":"Barbell bench press","alternative":"Smith-machine bench press","reason":"Equipment match","notes":"Equipment-compatible option.","updatedAt":"2026-07-19T15:45:00.000Z"},{"id":"ALT098","defaultExercise":"Barbell bench press","alternative":"Chest press machine","reason":"Equipment match","notes":"Equipment-compatible option.","updatedAt":"2026-07-19T15:45:00.000Z"},{"id":"ALT099","defaultExercise":"Barbell bench press","alternative":"Swiss-bar bench press","reason":"Equipment match","notes":"Equipment-compatible option.","updatedAt":"2026-07-19T15:45:00.000Z"},{"id":"ALT100","defaultExercise":"Incline dumbbell press","alternative":"Feet-elevated push-up","reason":"Equipment match","notes":"Equipment-compatible option.","updatedAt":"2026-07-19T15:45:00.000Z"},{"id":"ALT101","defaultExercise":"Incline dumbbell press","alternative":"Landmine press","reason":"Equipment match","notes":"Equipment-compatible option.","updatedAt":"2026-07-19T15:45:00.000Z"},{"id":"ALT102","defaultExercise":"Incline dumbbell press","alternative":"Chest press machine","reason":"Equipment match","notes":"Equipment-compatible option.","updatedAt":"2026-07-19T15:45:00.000Z"},{"id":"ALT103","defaultExercise":"Cable lat pulldown or ring chin-up","alternative":"Pull-up","reason":"Equipment match","notes":"Equipment-compatible option.","updatedAt":"2026-07-19T15:45:00.000Z"},{"id":"ALT104","defaultExercise":"Cable lat pulldown or ring chin-up","alternative":"Band-assisted pull-up","reason":"Equipment match","notes":"Equipment-compatible option.","updatedAt":"2026-07-19T15:45:00.000Z"},{"id":"ALT105","defaultExercise":"Cable lat pulldown or ring chin-up","alternative":"Band lat pulldown","reason":"Equipment match","notes":"Equipment-compatible option.","updatedAt":"2026-07-19T15:45:00.000Z"},{"id":"ALT106","defaultExercise":"Pulldown or chin-up","alternative":"Pull-up","reason":"Equipment match","notes":"Equipment-compatible option.","updatedAt":"2026-07-19T15:45:00.000Z"},{"id":"ALT107","defaultExercise":"Pulldown or chin-up","alternative":"Band-assisted pull-up","reason":"Equipment match","notes":"Equipment-compatible option.","updatedAt":"2026-07-19T15:45:00.000Z"},{"id":"ALT108","defaultExercise":"Pulldown or chin-up","alternative":"Band lat pulldown","reason":"Equipment match","notes":"Equipment-compatible option.","updatedAt":"2026-07-19T15:45:00.000Z"},{"id":"ALT109","defaultExercise":"Weighted chin-up or heavy pulldown","alternative":"Pull-up","reason":"Equipment match","notes":"Equipment-compatible option.","updatedAt":"2026-07-19T15:45:00.000Z"},{"id":"ALT110","defaultExercise":"Weighted chin-up or heavy pulldown","alternative":"Ring chin-up","reason":"Equipment match","notes":"Equipment-compatible option.","updatedAt":"2026-07-19T15:45:00.000Z"},{"id":"ALT111","defaultExercise":"Weighted chin-up or heavy pulldown","alternative":"Band lat pulldown","reason":"Equipment match","notes":"Equipment-compatible option.","updatedAt":"2026-07-19T15:45:00.000Z"},{"id":"ALT112","defaultExercise":"Chest-supported dumbbell row","alternative":"One-arm dumbbell row","reason":"Equipment match","notes":"Equipment-compatible option.","updatedAt":"2026-07-19T15:45:00.000Z"},{"id":"ALT113","defaultExercise":"Chest-supported dumbbell row","alternative":"Band row","reason":"Equipment match","notes":"Equipment-compatible option.","updatedAt":"2026-07-19T15:45:00.000Z"},{"id":"ALT114","defaultExercise":"Chest-supported dumbbell row","alternative":"Landmine T-bar row","reason":"Equipment match","notes":"Equipment-compatible option.","updatedAt":"2026-07-19T15:45:00.000Z"},{"id":"ALT115","defaultExercise":"One-arm cable row","alternative":"One-arm dumbbell row","reason":"Equipment match","notes":"Equipment-compatible option.","updatedAt":"2026-07-19T15:45:00.000Z"},{"id":"ALT116","defaultExercise":"One-arm cable row","alternative":"Band row","reason":"Equipment match","notes":"Equipment-compatible option.","updatedAt":"2026-07-19T15:45:00.000Z"},{"id":"ALT117","defaultExercise":"One-arm cable row","alternative":"Landmine T-bar row","reason":"Equipment match","notes":"Equipment-compatible option.","updatedAt":"2026-07-19T15:45:00.000Z"},{"id":"ALT118","defaultExercise":"Seated dumbbell overhead press","alternative":"Arnold press","reason":"Equipment match","notes":"Equipment-compatible option.","updatedAt":"2026-07-19T15:45:00.000Z"},{"id":"ALT119","defaultExercise":"Seated dumbbell overhead press","alternative":"Landmine press","reason":"Equipment match","notes":"Equipment-compatible option.","updatedAt":"2026-07-19T15:45:00.000Z"},{"id":"ALT120","defaultExercise":"Seated dumbbell overhead press","alternative":"Pike push-up","reason":"Equipment match","notes":"Equipment-compatible option.","updatedAt":"2026-07-19T15:45:00.000Z"},{"id":"ALT121","defaultExercise":"Close-grip bench press or weighted ring push-up","alternative":"Close-grip bench press","reason":"Equipment match","notes":"Equipment-compatible option.","updatedAt":"2026-07-19T15:45:00.000Z"},{"id":"ALT122","defaultExercise":"Close-grip bench press or weighted ring push-up","alternative":"Weighted ring push-up","reason":"Equipment match","notes":"Equipment-compatible option.","updatedAt":"2026-07-19T15:45:00.000Z"},{"id":"ALT123","defaultExercise":"Close-grip bench press or weighted ring push-up","alternative":"Parallel-bar dip","reason":"Equipment match","notes":"Equipment-compatible option.","updatedAt":"2026-07-19T15:45:00.000Z"},{"id":"ALT124","defaultExercise":"Close-grip bench press or weighted ring push-up","alternative":"Close-grip push-up","reason":"Equipment match","notes":"Equipment-compatible option.","updatedAt":"2026-07-19T15:45:00.000Z"},{"id":"ALT125","defaultExercise":"Close-grip bench press or weighted ring push-up","alternative":"Band-assisted dip","reason":"Equipment match","notes":"Equipment-compatible option.","updatedAt":"2026-07-19T15:45:00.000Z"},{"id":"ALT126","defaultExercise":"Cable lateral raise","alternative":"Band lateral raise","reason":"Equipment match","notes":"Equipment-compatible option.","updatedAt":"2026-07-19T15:45:00.000Z"},{"id":"ALT127","defaultExercise":"Cable rear-delt fly or face pull","alternative":"Dumbbell rear-delt fly","reason":"Equipment match","notes":"Equipment-compatible option.","updatedAt":"2026-07-19T15:45:00.000Z"},{"id":"ALT128","defaultExercise":"Cable</t>
        </is>
      </c>
      <c r="C3" s="144" t="n">
        <v>0</v>
      </c>
      <c r="D3" s="173" t="n">
        <v>46222.875</v>
      </c>
      <c r="E3" s="144" t="inlineStr">
        <is>
          <t>template</t>
        </is>
      </c>
      <c r="F3" s="144" t="inlineStr">
        <is>
          <t>v2.3 template</t>
        </is>
      </c>
      <c r="G3" s="138" t="n"/>
    </row>
    <row r="4">
      <c r="A4" s="136" t="n">
        <v>3</v>
      </c>
      <c r="B4" s="144" t="inlineStr">
        <is>
          <t xml:space="preserve"> rear-delt fly or face pull","alternative":"Reverse pec deck","reason":"Equipment match","notes":"Equipment-compatible option.","updatedAt":"2026-07-19T15:45:00.000Z"},{"id":"ALT129","defaultExercise":"Cable rear-delt fly or face pull","alternative":"Band face pull","reason":"Equipment match","notes":"Equipment-compatible option.","updatedAt":"2026-07-19T15:45:00.000Z"},{"id":"ALT130","defaultExercise":"Rear-delt cable fly","alternative":"Dumbbell rear-delt fly","reason":"Equipment match","notes":"Equipment-compatible option.","updatedAt":"2026-07-19T15:45:00.000Z"},{"id":"ALT131","defaultExercise":"Rear-delt cable fly","alternative":"Reverse pec deck","reason":"Equipment match","notes":"Equipment-compatible option.","updatedAt":"2026-07-19T15:45:00.000Z"},{"id":"ALT132","defaultExercise":"Rear-delt cable fly","alternative":"Band face pull","reason":"Equipment match","notes":"Equipment-compatible option.","updatedAt":"2026-07-19T15:45:00.000Z"},{"id":"ALT133","defaultExercise":"Cable triceps pushdown","alternative":"Band triceps pushdown","reason":"Equipment match","notes":"Equipment-compatible option.","updatedAt":"2026-07-19T15:45:00.000Z"},{"id":"ALT134","defaultExercise":"Cable triceps pushdown","alternative":"Dumbbell skull crusher","reason":"Equipment match","notes":"Equipment-compatible option.","updatedAt":"2026-07-19T15:45:00.000Z"},{"id":"ALT135","defaultExercise":"Cable triceps pushdown","alternative":"EZ-bar skull crusher","reason":"Equipment match","notes":"Equipment-compatible option.","updatedAt":"2026-07-19T15:45:00.000Z"},{"id":"ALT136","defaultExercise":"Cable triceps pushdown","alternative":"Close-grip push-up","reason":"Equipment match","notes":"Equipment-compatible option.","updatedAt":"2026-07-19T15:45:00.000Z"},{"id":"ALT137","defaultExercise":"Overhead cable triceps extension","alternative":"Dumbbell skull crusher","reason":"Equipment match","notes":"Equipment-compatible option.","updatedAt":"2026-07-19T15:45:00.000Z"},{"id":"ALT138","defaultExercise":"Overhead cable triceps extension","alternative":"EZ-bar skull crusher","reason":"Equipment match","notes":"Equipment-compatible option.","updatedAt":"2026-07-19T15:45:00.000Z"},{"id":"ALT139","defaultExercise":"Overhead cable triceps extension","alternative":"Band triceps pushdown","reason":"Equipment match","notes":"Equipment-compatible option.","updatedAt":"2026-07-19T15:45:00.000Z"},{"id":"ALT140","defaultExercise":"Overhead triceps extension","alternative":"Overhead cable triceps extension","reason":"Equipment match","notes":"Equipment-compatible option.","updatedAt":"2026-07-19T15:45:00.000Z"},{"id":"ALT141","defaultExercise":"Overhead triceps extension","alternative":"Dumbbell skull crusher","reason":"Equipment match","notes":"Equipment-compatible option.","updatedAt":"2026-07-19T15:45:00.000Z"},{"id":"ALT142","defaultExercise":"Overhead triceps extension","alternative":"EZ-bar skull crusher","reason":"Equipment match","notes":"Equipment-compatible option.","updatedAt":"2026-07-19T15:45:00.000Z"},{"id":"ALT143","defaultExercise":"Overhead triceps extension","alternative":"Band triceps pushdown","reason":"Equipment match","notes":"Equipment-compatible option.","updatedAt":"2026-07-19T15:45:00.000Z"},{"id":"ALT144","defaultExercise":"Incline dumbbell or cable curl","alternative":"EZ-bar curl","reason":"Equipment match","notes":"Equipment-compatible option.","updatedAt":"2026-07-19T15:45:00.000Z"},{"id":"ALT145","defaultExercise":"Incline dumbbell or cable curl","alternative":"Band curl","reason":"Equipment match","notes":"Equipment-compatible option.","updatedAt":"2026-07-19T15:45:00.000Z"},{"id":"ALT146","defaultExercise":"Incline dumbbell or cable curl","alternative":"Preacher curl","reason":"Equipment match","notes":"Equipment-compatible option.","updatedAt":"2026-07-19T15:45:00.000Z"},{"id":"ALT147","defaultExercise":"Cable curl","alternative":"Incline dumbbell curl","reason":"Equipment match","notes":"Equipment-compatible option.","updatedAt":"2026-07-19T15:45:00.000Z"},{"id":"ALT148","defaultExercise":"Cable curl","alternative":"Dumbbell hammer curl","reason":"Equipment match","notes":"Equipment-compatible option.","updatedAt":"2026-07-19T15:45:00.000Z"},{"id":"ALT149","defaultExercise":"Cable curl","alternative":"EZ-bar curl","reason":"Equipment match","notes":"Equipment-compatible option.","updatedAt":"2026-07-19T15:45:00.000Z"},{"id":"ALT150","defaultExercise":"Cable curl","alternative":"Band curl","reason":"Equipment match","notes":"Equipment-compatible option.","updatedAt":"2026-07-19T15:45:00.000Z"},{"id":"ALT151","defaultExercise":"Cable curl","alternative":"Preacher curl","reason":"Equipment match","notes":"Equipment-compatible option.","updatedAt":"2026-07-19T15:45:00.000Z"},{"id":"ALT152","defaultExercise":"Dumbbell hammer curl","alternative":"EZ-bar curl","reason":"Equipment match","notes":"Equipment-compatible option.","updatedAt":"2026-07-19T15:45:00.000Z"},{"id":"ALT153","defaultExercise":"Dumbbell hammer curl","alternative":"Band curl","reason":"Equipment match","notes":"Equipment-compatible option.","updatedAt":"2026-07-19T15:45:00.000Z"},{"id":"ALT154","defaultExercise":"Hammer curl","alternative":"Dumbbell hammer curl","reason":"Equipment match","notes":"Equipment-compatible option.","updatedAt":"2026-07-19T15:45:00.000Z"},{"id":"ALT155","defaultExercise":"Hammer curl","alternative":"Cable curl","reason":"Equipment match","notes":"Equipment-compatible option.","updatedAt":"2026-07-19T15:45:00.000Z"},{"id":"ALT156","defaultExercise":"Hammer curl","alternative":"Band curl","reason":"Equipment match","notes":"Equipment-compatible option.","updatedAt":"2026-07-19T15:45:00.000Z"},{"id":"ALT157","defaultExercise":"Dead bug or Pallof press","alternative":"Band Pallof press","reason":"Equipment match","notes":"Equipment-compatible option.","updatedAt":"2026-07-19T15:45:00.000Z"},{"id":"ALT158","defaultExercise":"Dead bug or Pallof press","alternative":"Side plank","reason":"Equipment match","notes":"Equipment-compatible option.","updatedAt":"2026-07-19T15:45:00.000Z"},{"id":"ALT159","defaultExercise":"Ab wheel or cable crunch","alternative":"Ab wheel","reason":"Equipment match","notes":"Equipment-compatible option.","updatedAt":"2026-07-19T15:45:00.000Z"},{"id":"ALT160","defaultExercise":"Ab wheel or cable crunch","alternative":"Reverse crunch","reason":"Equipment match","notes":"Equipment-compatible option.","updatedAt":"2026-07-19T15:45:00.000Z"},{"id":"ALT161","defaultExercise":"Ab wheel or cable crunch","alternative":"Stability-ball crunch","reason":"Equipment match","notes":"Equipment-compatible option.","updatedAt":"2026-07-19T15:45:00.000Z"}],"ingredientCache":[{"id":"ING001","name":"Chicken breast","servingDescription":"100 g cooked","kcal":165,"protein":31,"carbs":0,"fat":3.6,"notes":"Example only; replace with your package/cooked-weight values.","updatedAt":"2026-07-19T10:00:00.000Z","brand":"","foodState":"cooked","baseAmount":100.0,"baseUnit":"g","densityGPerMl":"","fibre":0,"sodiumMg":0,"aliases":[],"commonMeasures":{},"source":"Example cache – verify","sourceId":"","sourceUrl":"","confirmed":false},{"id":"ING002","name":"0% Greek yoghurt","servingDescription":"100 g","kcal":59,"protein":10.3,"carbs":3.6,"fat":0.4,"notes":"Example only; brands vary.","updatedAt":"2026-07-19T10:00:00.000Z","brand":"","foodState":"","baseAmount":100.0,"baseUnit":"g","densityGPerMl":"","fibre":0,"sodiumMg":0,"aliases":[],"commonMeasures":{},"source":"Example cache – verify","sourceId":"","sourceUrl":"","confirmed":false},{"id":"ING003","name":"Whey protein","servingDescription":"30 g scoop","kcal":120,"protein":24,"carbs":3,"fat":2,"notes":"Use the exact label values.","updatedAt":"2026-07-19T10:00:00.000Z","brand":"","foodState":"","baseAmount":30.0,"baseUnit":"g","densityGPerMl":"","fibre":0,"sodiumMg":0,"aliases":[],"commonMeasures":{"scoop":30.0},"source":"Example cache – verify","sourceId":"","sourceUrl":"","confirmed":false},{"id":"ING004","name":"Egg whites","servingDescription":"100 g","kcal":52,"protein":10.9,"carbs":0.7,"fat":0.2,"notes":"Example only.","updatedAt":"2026-07-19T10:00:00.000Z","brand":"","foodState":"","baseAmount":100.0,"baseUnit":"g","densityGPerMl":"","fibre":0,"sodiumMg":0,"aliases":[],"commonMeasures":{},"source":"Example cache – verify","sourceId":"","sourceUrl":"","confirmed":false},{"id":"ING005","name":"Cooked white rice","servingDescription":"100 g","kcal":130,"protein":2.4,"carbs":28.2,"fat":0.3,"notes":"Cooked weight; example only.","updatedAt":"2026-07-19T10:00:00.000Z","brand":"","foodState":"","baseAmount":100.0,"baseUnit":"g","densityGPerMl":"","fibre":0,"sodiumMg":0,"aliases":[],"commonMeasures":{},"source":"Example cache – verify","sourceId":"","sourceUrl":"","confirmed":false},{"id":"ING006","name":"Boiled potato","servingDescription":"100 g","kcal":87,"protein":1.9,"carbs":20.1,"fat":0.1,"notes":"Example only.","updatedAt":"2026-07-19T10:00:00.000Z","brand":"","foodState":"","baseAmount":100.0,"baseUnit":"g","densityGPerMl":"","fibre":0,"sodiumMg":0,"aliases":[],"commonMeasures":{},"source":"Example cache – verify","sourceId":"","sourceUrl":"","confirmed":false},{"id":"ING007","name":"Tuna in water, drained","servingDescription":"100 g","kcal":116,"protein":25.5,"carbs":0,"fat":0.8,"notes":"Check the can label.","updatedAt":"2026-07-19T10:00:00.000Z","brand":"","foodState":"","baseAmount":100.0,"baseUnit":"g","densityGPerMl":"","fibre":0,"sodiumMg":0,"aliases":[],"commonMeasures":{},"source":"Example cache – verify","sourceId":"","sourceUrl":"","confirmed":false},{"id":"ING008","name":"Low-fat cottage cheese","servingDescription":"100 g","kcal":82,"protein":11.1,"carbs":3.4,"fat":2.3,"notes":"Brands vary.","updatedAt":"2026-07-19T10:00:00.000Z","brand":"","foodState":"","baseAmount":100.0,"baseUnit":"g","densityGPerMl":"","fibre":0,"sodiumMg":0,"aliases":[],"commonMeasures":{},"source":"Example cache – verify","sourceId":"","sourceUrl":"","confirmed":false},{"id":"ING009","name":"Lean turkey mince","servingDescription":"100 g","kcal":145,"protein":21,"carbs":0,"fat":6,"notes":"Use your package values.","updatedAt":"2026-07-19T10:00:00.000Z","brand":"","foodState":"","baseAmount":100.0,"baseUnit":"g","densityGPerMl":"","fibre":0,"sodiumMg":0,"aliases":[],"commonMeasures":{},"source":"Example cache – verify","sourceId":"","sourceUrl":"","confirmed":false},{"id":"ING010","name":"Courgette","servingDescription":"100 g","kcal":17,"protein":1.2,"carbs":3.1,"fat":0.3,"notes":"Example only.","updatedAt":"2026-07-19T10:00:00.000Z","brand":"","foodState":"","baseAmount":100.0,"baseUnit":"g","densityGPerMl":"","fibre":0,"sodiumMg":0,"aliases":[],"commonMeasures":{},"source":"Example cache – verify","sourceId":"","sourceUrl":"","confirmed":false},{"id":"ING011","name":"Chicken breast, raw","brand":"","foodState":"raw","servingDescription":"100 g","baseAmount":100,"baseUnit":"g","densityGPerMl":"","kcal":120,"protein":22.5,"carbs":0,"fat":2.6,"fibre":0,"sodiumMg":45,"aliases":["raw chicken breast","chicken fillet"],"commonMeasures":{},"source":"Generic reference – verify","sourceId":"","sourceUrl":"","confirmed":false,"notes":"Starting reference value. Confirm against a package label or reference record before relying on it.","updatedAt":"2026-07-19T20:55:00.000Z"},{"id":"ING012","name":"Olive oil","brand":"","foodState":"","servingDescription":"100 g","baseAmount":100,"baseUnit":"g","densityGPerMl":"","kcal":884,"protein":0,"carbs":0,"fat":100,"fibre":0,"sodiumMg":0,"aliases":["extra virgin olive oil","evoo"],"commonMeasures":{"tbsp":13.5,"tsp":4.5},"source":"Generic reference – verify","sourceId":"","sourceUrl":"","confirmed":false,"notes":"Starting reference value. Confirm against a package label or reference record before relying on it.","updatedAt":"2026-07-19T20:55:00.000Z"},{"id":"ING013","name":"Onion, raw","brand":"","foodState":"raw","servingDescription":"100 g","baseAmount":100,"baseUnit":"g","densityGPerMl":"","kcal":40,"protein":1.1,"carbs":9.3,"fat":0.1,"fibre":1.7,"sodiumMg":4,"aliases":["onion","yellow onion","white onion","red onion"],"commonMeasures":{"each":150,"medium":150,"small":90,"large":220},"source":"Generic reference – verify","sourceId":"","sourceUrl":"","confirmed":false,"notes":"Starting reference value. Confirm against a package label or reference record before relying on it.","updatedAt":"2026-07-19T20:55:00.000Z"},{"id":"ING014","name":"Garlic, raw","brand":"","foodState":"raw","servingDescription":"100 g","baseAmount":100,"baseUnit":"g","densityGPerMl":"","kcal":149,"protein":6.4,"carbs":33.1,"fat":0.5,"fibre":2.1,"sodiumMg":17,"aliases":["garlic","garlic clove"],"commonMeasures":{"clove":3,"tsp":2.8},"source":"Generic reference – verify","sourceId":"","sourceUrl":"","confirmed":false,"notes":"Starting reference value. Confirm against a package label or reference record before relying on it.","updatedAt":"2026-07-19T20:55:00.000Z"},{"id":"ING015","name":"Chopped tomatoes, canned","brand":"","foodState":"canned","servingDescription":"100 g","baseAmount":100,"baseUnit":"g","densityGPerMl":"","kcal":24,"protein":1.2,"carbs":4.0,"fat":0.2,"fibre":1.2,"sodiumMg":120,"aliases":["canned tomatoes","tinned tomatoes","chopped tomato"],"commonMeasures":{"can":400},"source":"Generic reference – verify","sourceId":"","sourceUrl":"","confirmed":false,"notes":"Starting reference value. Confirm against a package label or reference record before relying on it.","updatedAt":"2026-07-19T20:55:00.000Z"},{"id":"ING016","name":"Tomato passata","brand":"","foodState":"","servingDescription":"100 g","baseAmount":100,"baseUnit":"g","densityGPerMl":"","kcal":29,"protein":1.4,"carbs":4.8,"fat":0.2,"fibre":1.5,"sodiumMg":210,"aliases":["passata","tomato puree sauce"],"commonMeasures":{"cup":245,"tbsp":15},"source":"Generic reference – verify","sourceId":"","sourceUrl":"","confirmed":false,"notes":"Starting reference value. Confirm against a package label or reference record before relying on it.","updatedAt":"2026-07-19T20:55:00.000Z"},{"id":"ING017","name":"Spinach, raw","brand":"","foodState":"raw","servingDescription":"100 g","baseAmount":100,"baseUnit":"g","densityGPerMl":"","kcal":23,"protein":2.9,"carbs":3.6,"fat":0.4,"fibre":2.2,"sodiumMg":79,"aliases":["spinach","baby spinach"],"commonMeasures":{"cup":30},"source":"Generic reference – verify","sourceId":"","sourceUrl":"","confirmed":false,"notes":"Starting reference value. Confirm against a package label or reference record before relying on it.","updatedAt":"2026-07-19T20:55:00.000Z"},{"id":"ING018","name":"Broccoli, raw","brand":"","foodState":"raw","servingDescription":"100 g","baseAmount":100,"baseUnit":"g","densityGPerMl":"","kcal":34,"protein":2.8,"carbs":6.6,"fat":0.4,"fibre":2.6,"sodiumMg":33,"aliases":["broccoli","broccoli florets"],"commonMeasures":{"cup":91},"source":"Generic reference – verify","sourceId":"","sourceUrl":"","confirmed":false,"notes":"Starting reference value. Confirm against a package label or reference record before relying on it.","updatedAt":"2026-07-19T20:55:00.000Z"},{"id":"ING019","name":"Carrot, raw","brand":"","foodState":"raw","servingDescription":"100 g","baseAmount":100,"baseUnit":"g","densityGPerMl":"","kcal":41,"protein":0.9,"carbs":9.6,"fat":0.2,"fibre":2.8,"sodiumMg":69,"aliases":["carrot","carrots"],"commonMeasures":{"each":61,"medium":61,"cup":128},"source":"Generic reference – verify","sourceId":"","sourceUrl":"","confirmed":false,"notes":"Starting reference value. Confirm against a package label or reference record before relying on it.","updatedAt":"2026-07-19T20:55:00.000Z"},{"id":"ING020","name":"Mushrooms, raw","brand":"","foodState":"raw","servingDescription":"100 g","baseAmount":100,"baseUnit":"g","densityGPerMl":"","kcal":22,"protein":3.1,"carbs":3.3,"fat":0.3,"fibre":1.0,"sodiumMg":5,"aliases":["mushroom","mushrooms","button mushrooms"],"commonMeasures":{"cup":70},"source":"Generic reference – verify","sourceId":"","sourceUrl":"","confirmed":false,"notes":"Starting reference value. Confirm against a package label or reference record before relying on it.","updatedAt":"2026-07-19T20:55:00.000Z"},{"id":"ING021","name":"Rolled oats, dry","brand":"","foodState":"dry","servingDescription":"100 g","baseAmount":100,"baseUnit":"g","densityGPerMl":"","kcal":379,"protein":13.2,"carbs":67.7,"fat":6.5,"fibre":10.1,"sodiumMg":6,"aliases":["oats","rolled oats","porridge oats"],"commonMeasures":{"cup":80,"tbsp":5},"source":"Generic reference – verify","sourceId":"","sourceUrl":"","confirmed":false,"notes":"Starting reference value. Confirm against a package label or reference record before relying on it.","updatedAt":"2026-07-19T20:55:00.000Z"},{"id":"ING022","name":"Basmati rice, dry","brand":"","foodState":"dry","servingDescription":"100 g","baseAmount":100,"baseUnit":"g","densityGPerMl":"","kcal":356,"protein":8.9,"carbs":78.6,"fat":0.9,"fibre":1.0,"sodiumMg":5,"aliases":["basmati rice","white rice dry","uncooked rice"],"commonMeasures":{"cup":185},"source":"Generic reference – verify","sourceId":"","sourceUrl":"","confirmed":false,"notes":"Starting reference value. Confirm against a package label or reference record before relying on it.","updatedAt":"2026-07-19T20:55:00.000Z"},{"id":"ING023","name":"Pasta, dry","brand":"","foodState":"dry","servingDescription":"100 g","baseAmount":100,"baseUnit":"g","densityGPerMl":"","kcal":371,"protein":13.0,"carbs":74.7,"fat":1.5,"fibre":3.2,"sodiumMg":6,"aliases":["dry pasta","uncooked pasta","spaghetti dry"],"commonMeasures":{"cup":100},"source":"Generic reference – verify","sourceId":"","sourceUrl":"","confirmed":false,"notes":"Starting reference value. Confirm against a package label or reference record before relying on it.","updatedAt":"2026-07-19T20:55:00.000Z"},{"id":"ING024","name":"Pasta, cooked","brand":"","foodState":"cooked","servingDescription":"100 g","baseAmount":100,"baseUnit":"g","densityGPerMl":"","kcal":158,"protein":5.8,"carbs":30.9,"fat":0.9,"fibre":1.8,"sodiumMg":1,"aliases":["cooked pasta","boiled pasta"],"commonMeasures":{"cup":140},"source":"Generic reference – verify","sourceId":"","sourceUrl":"","confirmed":false,"notes":"Starting reference value. Confirm against a package label or reference record before relying on it.","updatedAt":"2026-07-19T20:55:00.000Z"},{"id":"ING025","name":"Lean beef mince, 5% fat","brand":"","foodState":"raw","servingDescription":"100 g","baseAmount":100,"baseUnit":"g","densityGPerMl":"","kcal":137,"protein":21.4,"carbs":0,"fat":5.0,"fibre":0,"sodiumMg":66,"aliases":["lean beef mince","ground beef 5%","minced beef"],"commonMeasures":{},"source":"Generic reference – verify","sourceId":"","sourceUrl":"","confirmed":false,"notes":"Starting reference value. Confirm against a package label or reference record before relying on it.","updatedAt":"2026-07-19T20:55:00.000Z"},{"id":"ING026","name":"Salmon fillet, raw","brand":"","foodState":"raw","servingDescription":"100 g","baseAmount":100,"baseUnit":"g","densityGPerMl":"","kcal":208,"protein":20.0,"carbs":0,"fat":13.0,"fibre":0,"sodiumMg":59,"aliases":["salmon","salmon fillet"],"commonMeasures":{},"source":"Generic reference – verify","sourceId":"","sourceUrl":"","confirmed":false,"notes":"Starting reference value. Confirm against a package label or reference record before relying on it.","updatedAt":"2026-07-19T20:55:00.000Z"},{"id":"ING027","name":"Whole egg, raw","brand":"","foodState":"raw","servingDescription":"100 g","baseAmount":100,"baseUnit":"g","densityGPerMl":"","kcal":143,"protein":12.6,"carbs":0.7,"fat":9.5,"fibre":0,"sodiumMg":142,"aliases":["egg","eggs","whole egg"],"commonMeasures":{"each":50,"large":50,"medium":44},"source":"Generic reference – verify","sourceId":"","sourceUrl":"","confirmed":false,"notes":"Starting reference value. Confirm against a package label or reference record before relying on it.","updatedAt":"2026-07-19T20:55:00.000Z"},{"id":"ING028","name":"Skimmed milk","brand":"","foodState":"","servingDescription":"100 ml","baseAmount":100,"baseUnit":"ml","densityGPerMl":1,"kcal":34,"protein":3.4,"carbs":5.0,"fat":0.1,"fibre":0,"sodiumMg":44,"aliases":["skim milk","skimmed milk","fat free milk"],"commonMeasures":{"cup":244,"tbsp":15},"source":"Generic reference – verify","sourceId":"","sourceUrl":"","confirmed":false,"notes":"Starting reference value. Confirm against a package label or reference record before relying on it.","updatedAt":"2026-07-19T20:55:00.000Z"},{"id":"ING029","name":"Cheddar cheese","brand":"","foodState":"","servingDescription":"100 g","baseAmount":100,"baseUnit":"g","densityGPerMl":"","kcal":403,"protein":25.0,"carbs":1.3,"fat":33.0,"fibre":0,"sodiumMg":621,"aliases":["cheddar","cheese"],"commonMeasures":{"cup":113,"slice":28},"source":"Generic reference – verify","sourceId":"","sourceUrl":"","confirmed":false,"notes":"Starting reference value. Confirm against a package label or reference record before relying on it.","updatedAt":"2026-07-19T20:55:00.000Z"},{"id":"ING030","name":"Lentils, cooked","brand":"","foodState":"cooked","servingDescription":"100 g","baseAmount":100,"baseUnit":"g","densityGPerMl":"","kcal":116,"protein":9.0,"carbs":20.1,"fat":0.4,"fibre":7.9,"sodiumMg":2,"aliases":["lentils","cooked lentils"],"commonMeasures":{"cup":198},"source":"Generic reference – verify","sourceId":"","sourceUrl":"","confirmed":false,"notes":"Starting reference value. Confirm against a package label or reference record before relying on it.","updatedAt":"2026-07-19T20:55:00.000Z"},{"id":"ING031","name":"Chickpeas, drained","brand":"","foodState":"drained","servingDescription":"100 g","baseAmount":100,"baseUnit":"g","densityGPerMl":"","kcal":139,"protein":7.2,"carbs":19.1,"fat":2.9,"fibre":5.1,"sodiumMg":240,"aliases":["chickpeas","garbanzo beans"],"commonMeasures":{"cup":164,"can":240},"source":"Generic reference – verify","sourceId":"","sourceUrl":"","confirmed":false,"notes":"Starting reference value. Confirm against a package label or reference record before relying on it.","updatedAt":"2026-07-19T20:55:00.000Z"},{"id":"ING032","name":"Kidney beans, drained","brand":"","foodState":"drained","servingDescription":"100 g","baseAmount":100,"baseUnit":"g","densityGPerMl":"","kcal":110,"protein":7.7,"carbs":14.5,"fat":0.6,"fibre":6.4,"sodiumMg":240,"aliases":["kidney beans","red kidney beans"],"commonMeasures":{"cup":177,"can":240},"source":"Generic reference – verify","sourceId":"","sourceUrl":"","confirmed":false,"notes":"Starting reference value. Confirm against a package label or reference record before relying on it.","updatedAt":"2026-07-19T20:55:00.000Z"},{"id":"ING033","name":"Banana, raw","brand":"","foodState":"raw","servingDescription":"100 g","baseAmount":100,"baseUnit":"g","densityGPerMl":"","kcal":89,"protein":1.1,"carbs":22.8,"fat":0.3,"fibre":2.6,"sodiumMg":1,"aliases":["banana"],"commonMeasures":{"each":118,"medium":118,"small":101,"large":136},"source":"Generic reference – verify","sourceId":"","sourceUrl":"","confirmed":false,"notes":"Starting reference value. Confirm against a package label or reference record before relying on it.","updatedAt":"2026-07-19T20:55:00.000Z"},{"id":"ING034","name":"Apple, raw","brand":"","foodState":"raw","servingDescription":"100 g","baseAmount":100,"baseUnit":"g","densityGPerMl":"","kcal":52,"protein":0.3,"carbs":13.8,"fat":0.2,"fibre":2.4,"sodiumMg":1,"aliases":["apple"],"commonMeasures":{"each":182,"medium":182,"small":149,"large":223},"source":"Generic reference – verify","sourceId":"","sourceUrl":"","confirmed":false,"notes":"Starting reference value. Confirm against a package label or reference record before relying on it.","updatedAt":"2026-07-19T20:55:00.000Z"},{"id":"ING035","name":"Blueberries, raw","brand":"","foodState":"raw","servingDescription":"100 g","baseAmount":100,"baseUnit":"g","densityGPerMl":"","kcal":57,"protein":0.7,"carbs":14.5,"fat":0.3,"fibre":2.4,"sodiumMg":1,"aliases":["blueberries","blueberry"],"commonMeasures":{"cup":148},"source":"Generic reference – verify","sourceId":"","sourceUrl":"","confirmed":false,"notes":"Starting reference value. Confirm against a package label or reference record before relying on it.","updatedAt":"2026-07-19T20:55:00.000Z"},{"id":"ING036","name":"Honey","brand":"","foodState":"","servingDescription":"100 g","baseAmount":100,"baseUnit":"g","densityGPerMl":"","kcal":304,"protein":0.3,"carbs":82.4,"fat":0,"fibre":0.2,"sodiumMg":4,"aliases":["honey"],"commonMeasures":{"tbsp":21,"tsp":7},"source":"Generic reference – verify","sourceId":"","sourceUrl":"","confirmed":false,"notes":"Starting reference value. Confirm against a package label or reference record before relying on it.","updatedAt":"2026-07-19T20:55:00.000Z"},{"id":"ING037","name":"Plain wheat flour","brand":"","foodState":"dry","servingDescription":"100 g","baseAmount":100,"baseUnit":"g","densityGPerMl":"","kcal":364,"protein":10.3,"carbs":76.3,"fat":1.0,"fibre":2.7,"sodiumMg":2,"aliases":["flour","plain flour","all purpose flour"],"commonMeasures":{"cup":125,"tbsp":8},"source":"Generic reference – verify","sourceId":"","sourceUrl":"","confirmed":false,"notes":"Starting reference value. Confirm against a package label or reference record before relying on it.","updatedAt":"2026-07-19T20:55:00.000Z"},{"id":"ING038","name":"Butter","brand":"","foodState":"","servingDescription":"100 g","baseAmount":100,"baseUnit":"g","densityGPerMl":"","kcal":717,"protein":0.9,"carbs":0.1,"fat":81.1,"fibre":0,"sodiumMg":11,"aliases":["butter","unsalted butter","salted butter"],"commonMeasures":{"tbsp":14,"tsp":4.7},"source":"Generic reference – verify","sourceId":"","sourceUrl":"","confirmed":false,"notes":"Starting reference value. Confirm against a package label or reference record before relying on it.","updatedAt":"2026-07-19T20:55:00.000Z"},{"id":"ING039","name":"Granulated sugar","brand":"","foodState":"dry","servingDescription":"100 g","baseAmount":100,"baseUnit":"g","densityGPerMl":"","kcal":387,"protein":0,"carbs":100,"fat":0,"fibre":0,"sodiumMg":1,"aliases":["sugar","white sugar","caster sugar"],"commonMeasures":{"cup":200,"tbsp":12.5,"tsp":4.2},"source":"Generic reference – verify","sourceId":"","sourceUrl":"","confirmed":false,"notes":"Starting reference value. Confirm against a package label or reference record before relying on it.","updatedAt":"2026-07-19T20:55:00.000Z"},{"id":"ING040","name":"Soy sauce","brand":"","foodState":"","servingDescription":"100 ml","baseAmount":100,"baseUnit":"ml","densityGPerMl":1,"kcal":53,"protein":8.1,"carbs":4.9,"fat":0.6,"fibre":0.8,"sodiumMg":5493,"aliases":["soy sauce","light soy sauce"],"commonMeasures":{"tbsp":15,"tsp":5},"source":"Generic reference – verify","sourceId":"","sourceUrl":"","confirmed":false,"notes":"Starting reference value. Confirm against a package label or reference record before relying on it.","updatedAt":"2026-07-19T20:55:00.000Z"},{"id":"ING041","name":"Lemon juice","brand":"","foodState":"","servingDescription":"100 ml","baseAmount":100,"baseUnit":"ml","densityGPerMl":1,"kcal":22,"protein":0.4,"carbs":6.9,"fat":0.2,"fibre":0.3,"sodiumMg":1,"aliases":["lemon juice","juice of lemon"],"commonMeasures":{"tbsp":15,"tsp":5,"lemon":48},"source":"Generic reference – verify","sourceId":"","sourceUrl":"","confirmed":false,"notes":"Starting reference value. Confirm against a package label or reference record before relying on it.","updatedAt":"2026-07-19T20:55:00.000Z"},{"id":"ING042","name":"Coconut milk, canned","brand":"","foodState":"canned","servingDescription":"100 g","baseAmount":100,"baseUnit":"g","densityGPerMl":"","kcal":197,"protein":2.0,"carbs":2.8,"fat":21.3,"fibre":0,"sodiumMg":15,"aliases":["coconut milk","full fat coconut milk"],"commonMeasures":{"cup":240,"can":400},"source":"Generic reference – verify","sourceId":"","sourceUrl":"","confirmed":false,"notes":"Starting reference value. Confirm against a package label or reference record before relying on it.","updatedAt":"2026-07-19T20:55:00.000Z"},{"id":"ING043","name":"White bread","brand":"","foodState":"","servingDescription":"100 g","baseAmount":100,"baseUnit":"g","densityGPerMl":"","kcal":250,"protein":9.0,"carbs":49.0,"fat":3.2,"fibre":2.7,"sodiumMg":491,"aliases":["bread","white bread"],"commonMeasures":{"slice":36},"source":"Generic reference – verify","sourceId":"","sourceUrl":"","confirmed":false,"notes":"Starting reference value. Confirm against a package label or reference record before relying on it.","updatedAt":"2026-07-19T20:55:00.000Z"},{"id":"ING044","name":"Sweet potato, raw","brand":"","foodState":"raw","servingDescription":"100 g","baseAmount":100,"baseUnit":"g","densityGPerMl":"","kcal":86,"protein":1.6,"carbs":20.1,"fat":0.1,"fibre":3.0,"sodiumMg":55,"aliases":["sweet potato","sweet potatoes"],"commonMeasures":{"each":130,"medium":130},"source":"Generic reference – verify","sourceId":"","sourceUrl":"","confirmed":false,"notes":"Starting reference value. Confirm against a package label or reference record before relying on it.","updatedAt":"2026-07-19T20:55:00.000Z"},{"id":"ING045","name":"Avocado, raw","brand":"","foodState":"raw","servingDescription":"100 g","baseAmount":100,"baseUnit":"g","densityGPerMl":"","kcal":160,"protein":2.0,"carbs":8.5,"fat":14.7,"fibre":6.7,"sodiumMg":7,"aliases":["avocado"],"commonMeasures":{"each":136,"half":68},"source":"Generic reference – verify","sourceId":"","sourceUrl":"","confirmed":false,"notes":"Starting reference value. Confirm against a package label or reference record before relying on it.","updatedAt":"2026-07-19T20:55:00.000Z"},{"id":"ING046","name":"Low-fat mayonnaise","brand":"","foodState":"","servingDescription":"100 g","baseAmount":100,"baseUnit":"g","densityGPerMl":"","kcal":270,"protein":1.0,"carbs":12.0,"fat":24.0,"fibre":0,"sodiumMg":700,"aliases":["light mayonnaise","low fat mayo","mayonnaise"],"commonMeasures":{"tbsp":15,"tsp":5},"source":"Generic reference – verify","sourceId":"","sourceUrl":"","confirmed":false,"notes":"Starting reference value. Confirm against a package label or reference record before relying on it.","updatedAt":"2026-07-19T20:55:00.000Z"},{"id":"ING047","name":"Peanut butter","brand":"","foodState":"","servingDescription":"100 g","baseAmount":100,"baseUnit":"g","densityGPerMl":"","kcal":588,"protein":25.0,"carbs":20.0,"fat":50.0,"fibre":6.0,"sodiumMg":426,"aliases":["peanut butter"],"commonMeasures":{"tbsp":16,"tsp":5.3},"source":"Generic reference – verify","sourceId":"","sourceUrl":"","confirmed":false,"notes":"Starting reference value. Confirm against a package label or reference record before relying on it.","updatedAt":"2026-07-19T20:55:00.000Z"},{"id":"ING048","name":"Plain low-fat yoghurt","brand":"","foodState":"","servingDescription":"100 g","baseAmount":100,"baseUnit":"g","densityGPerMl":"","kcal":63,"protein":5.3,"carbs":7.0,"fat":1.6,"fibre":0,"sodiumMg":70,"aliases":["plain yoghurt","low fat yogurt","natural yoghurt"],"commonMeasures":{"cup":245,"tbsp":15},"source":"Generic reference – verify","sourceId":"","sourceUrl":"","confirmed":false,"notes":"Starting reference value. Confirm against a package label or reference record before relying on it.","updatedAt":"2026-07-19T20:55:00.000Z"},{"id":"ING049","name":"Quinoa, cooked","brand":"","foodState":"cooked","servingDescription":"100 g","baseAmount":100,"baseUnit":"g","densityGPerMl":"","kcal":120,"protein":4.4,"carbs":21.3,"fat":1.9,"fibre":2.8,"sodiumMg":7,"aliases":["quinoa","cooked quinoa"],"commonMeasures":{"cup":185},"source":"Generic reference – verify","sourceId":"","sourceUrl":"","confirmed":false,"notes":"Starting reference value. Confirm against a package label or reference record before relying on it.","updatedAt":"2026-07-19T20:55:00.000Z"},{"id":"ING050","name":"Frozen mixed vegetables","brand":"","foodState":"frozen","servingDescription":"100 g","baseAmount":100,"baseUnit":"g","densityGPerMl":"","kcal":65,"protein":3.0,"carbs":11.0,"fat":0.6,"fibre":4.0,"sodiumMg":60,"aliases":["mixed vegetables","frozen vegetables"],"commonMeasures":{"cup":150},"source":"Generic reference – verify","sourceId":"","sourceUrl":"","confirmed":false,"notes":"Starting reference value. Confirm against a package label or reference record before relying on it.","updatedAt":"2026-07-19T20:55:00.000Z"}],"recipes":[{"id":"RCP001","name":"Chicken courgette rice bowl","category":"Normal cut","servings":2,"totalKcal":780,"protein":92,"carbs":72,"fat":14,"rflFriendly":"No","noBellPeppers":"Yes","noShellfish":"Yes","notes":"Example values only. No bell peppers; adjust to your ingredients.","favourite":false,"instructions":"","ingredients":[],"updatedAt":"2026-07-19T10:00:00.000Z","sourceType":"Seed","sourceName":"Lift &amp; Cut starter recipe","sourceUrl":"","sourceAuthor":"","sourceBook":"","importedAt":"","prepTime":"","cookTime":"","totalTime":"","yieldText":"2 servings","finishedWeightG":"","fibre":0,"sodiumMg":0,"nutritionConfidence":"Manual","importStatus":"Ready","tags":[],"imageUrl":"","sourceNutrition":{},"calculateFromIngredients":false},{"id":"RCP002","name":"Greek yoghurt whey bowl","category":"High protein","servings":1,"totalKcal":410,"protein":55,"carbs":32,"fat":6,"rflFriendly":"Yes","noBellPeppers":"Yes","noShellfish":"Yes","notes":"Good quick protein option; use exact label values.","favourite":true,"instructions":"","ingredients":[],"updatedAt":"2026-07-19T10:00:00.000Z","sourceType":"Seed","sourceName":"Lift &amp; Cut starter recipe","sourceUrl":"","sourceAuthor":"","sourceBook":"","importedAt":"","prepTime":"","cookTime":"","totalTime":"","yieldText":"1 servings","finishedWeightG":"","fibre":0,"sodiumMg":0,"nutritionConfidence":"Manual","importStatus":"Ready","tags":[],"imageUrl":"","sourceNutrition":{},"calculateFromIngredients":false},{"id":"RCP003","name":"Egg-white spinach omelette","category":"RFL-friendly","servings":1,"totalKcal":260,"protein":42,"carbs":8,"fat":6,"rflFriendly":"Yes","noBellPeppers":"Yes","noShellfish":"Yes","notes":"Use herbs, spinach, mushrooms; avoid bell peppers.","favourite":true,"instructions":"","ingredients":[],"updatedAt":"2026-07-19T10:00:00.000Z","sourceType":"Seed","sourceName":"Lift &amp; Cut starter recipe","sourceUrl":"","sourceAuthor":"","sourceBook":"","importedAt":"","prepTime":"","cookTime":"","totalTime":"","yieldText":"1 servings","finishedWeightG":"","fibre":0,"sodiumMg":0,"nutritionConfidence":"Manual","importStatus":"Ready","tags":[],"imageUrl":"","sourceNutrition":{},"calculateFromIngredients":false},{"id":"RCP004","name":"Lean turkey tomato mince","category":"Batch cook","servings":4,"totalKcal":1280,"protein":156,"carbs":64,"fat":36,"rflFriendly":"Maybe","noBellPeppers":"Yes","noShellfish":"Yes","notes":"Serve with rice/potatoes outside RFL or vegetables during RFL.","favourite":false,"instructions":"","ingredients":[],"updatedAt":"2026-07-19T10:00:00.000Z","sourceType":"Seed","sourceName":"Lift &amp; Cut starter recipe","sourceUrl":"","sourceAuthor":"","sourceBook":"","importedAt":"","prepTime":"","cookTime":"","totalTime":"","yieldText":"4 servings","finishedWeightG":"","fibre":0,"sodiumMg":0,"nutritionConfidence":"Manual","importStatus":"Ready","tags":[],"imageUrl":"","sourceNutrition":{},"calculateFromIngredients":false},{"id":"RCP005","name":"Tuna potato salad","category":"Normal cut","servings":2,"totalKcal":650,"protein":62,"carbs":82,"fat":8,"rflFriendly":"No","noBellPeppers":"Yes","noShellfish":"Yes","notes":"Tuna is not shellfish; avoid mayo-heavy versions.","favourite":false,"instructions":"","ingredients":[],"updatedAt":"2026-07-19T10:00:00.000Z","sourceType":"Seed","sourceName":"Lift &amp; Cut starter recipe","sourceUrl":"","sourceAuthor":"","sourceBook":"","importedAt":"","prepTime":"","cookTime":"","totalTime":"","yieldText":"2 servings","finishedWeightG":"","fibre":0,"sodiumMg":0,"nutritionConfidence":"Manual","importStatus":"Ready","tags":[],"imageUrl":"","sourceNutrition":{},"calculateFromIngredients":false},{"id":"RCP006","name":"Cottage cheese chicken salad","category":"RFL-friendly","servings":1,"totalKcal":360,"protein":60,"carbs":14,"fat":7,"rflFriendly":"Yes","noBellPeppers":"Yes","noShellfish":"Yes","notes":"Use cucumber, lettuce, tomato; no bell peppers.","favourite":true,"instructions":"","ingredients":[],"updatedAt":"2026-07-19T10:00:00.000Z","sourceType":"Seed","sourceName":"Lift &amp; Cut starter recipe","sourceUrl":"","sourceAuthor":"","sourceBook":"","importedAt":"","prepTime":"","cookTime":"","totalTime":"","yieldText":"1 servings","finishedWeightG":"","fibre":0,"sodiumMg":0,"nutritionConfidence":"Manual","importStatus":"Ready","tags":[],"imageUrl":"","sourceNutrition":{},"calculateFromIngredients":false}],"workoutSessions":[],"workoutLogs":[],"foodLog":[],"bodyMetrics":[],"dailyCheckins":[],"dietPhases":[],"cardioLogs":[],"progressPhotos":[]}</t>
        </is>
      </c>
      <c r="C4" s="144" t="n">
        <v>0</v>
      </c>
      <c r="D4" s="173" t="n">
        <v>46222.875</v>
      </c>
      <c r="E4" s="144" t="inlineStr">
        <is>
          <t>template</t>
        </is>
      </c>
      <c r="F4" s="144" t="inlineStr">
        <is>
          <t>v2.3 template</t>
        </is>
      </c>
      <c r="G4" s="138" t="n"/>
    </row>
    <row r="5">
      <c r="A5" s="74" t="n"/>
      <c r="B5" s="92" t="n"/>
      <c r="C5" s="92" t="n"/>
      <c r="D5" s="176" t="n"/>
      <c r="E5" s="92" t="n"/>
      <c r="F5" s="92" t="n"/>
      <c r="G5" s="97" t="n"/>
    </row>
    <row r="6"/>
    <row r="7"/>
    <row r="8"/>
    <row r="9"/>
    <row r="10"/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2" customWidth="1" style="91" min="1" max="1"/>
    <col width="22" customWidth="1" style="91" min="2" max="2"/>
    <col width="22" customWidth="1" style="91" min="3" max="3"/>
    <col width="24" customWidth="1" style="91" min="4" max="4"/>
    <col width="30" customWidth="1" style="91" min="5" max="5"/>
    <col width="30" customWidth="1" style="91" min="6" max="6"/>
  </cols>
  <sheetData>
    <row r="1">
      <c r="A1" s="163" t="inlineStr">
        <is>
          <t>Weekly Review</t>
        </is>
      </c>
      <c r="B1" s="97" t="n"/>
      <c r="C1" s="97" t="n"/>
      <c r="D1" s="97" t="n"/>
      <c r="E1" s="97" t="n"/>
      <c r="F1" s="97" t="n"/>
    </row>
    <row r="3">
      <c r="A3" t="inlineStr">
        <is>
          <t>Week start</t>
        </is>
      </c>
      <c r="B3" s="177">
        <f>TODAY()-WEEKDAY(TODAY(),2)+1</f>
        <v/>
      </c>
    </row>
    <row r="5">
      <c r="A5" s="22" t="inlineStr">
        <is>
          <t>Metric</t>
        </is>
      </c>
      <c r="B5" s="22" t="inlineStr">
        <is>
          <t>Value</t>
        </is>
      </c>
      <c r="D5" s="22" t="inlineStr">
        <is>
          <t>Reflection</t>
        </is>
      </c>
      <c r="E5" s="22" t="inlineStr">
        <is>
          <t>Notes</t>
        </is>
      </c>
      <c r="F5" s="22" t="inlineStr">
        <is>
          <t>Next action</t>
        </is>
      </c>
    </row>
    <row r="6">
      <c r="A6" s="12" t="inlineStr">
        <is>
          <t>Average weight kg</t>
        </is>
      </c>
      <c r="B6" s="31">
        <f>IFERROR(AVERAGEIFS(Body_Metrics!$C:$C,Body_Metrics!$B:$B,"&gt;="&amp;$B$3,Body_Metrics!$B:$B,"&lt;"&amp;$B$3+7),"")</f>
        <v/>
      </c>
      <c r="D6" s="12" t="inlineStr">
        <is>
          <t>Training performance</t>
        </is>
      </c>
      <c r="E6" s="70" t="n"/>
      <c r="F6" s="70" t="n"/>
    </row>
    <row r="7">
      <c r="A7" s="12" t="inlineStr">
        <is>
          <t>Weight change vs prior week kg</t>
        </is>
      </c>
      <c r="B7" s="31">
        <f>IFERROR(B6-AVERAGEIFS(Body_Metrics!$C:$C,Body_Metrics!$B:$B,"&gt;="&amp;$B$3-7,Body_Metrics!$B:$B,"&lt;"&amp;$B$3),"")</f>
        <v/>
      </c>
      <c r="D7" s="12" t="inlineStr">
        <is>
          <t>Diet adherence</t>
        </is>
      </c>
      <c r="E7" s="70" t="n"/>
      <c r="F7" s="70" t="n"/>
    </row>
    <row r="8">
      <c r="A8" s="12" t="inlineStr">
        <is>
          <t>Workouts</t>
        </is>
      </c>
      <c r="B8" s="31">
        <f>COUNTIFS(Workout_Sessions!$B:$B,"&gt;="&amp;$B$3,Workout_Sessions!$B:$B,"&lt;"&amp;$B$3+7,Workout_Sessions!$L:$L,TRUE)</f>
        <v/>
      </c>
      <c r="D8" s="12" t="inlineStr">
        <is>
          <t>Hunger / energy</t>
        </is>
      </c>
      <c r="E8" s="70" t="n"/>
      <c r="F8" s="70" t="n"/>
    </row>
    <row r="9">
      <c r="A9" s="12" t="inlineStr">
        <is>
          <t>Work sets</t>
        </is>
      </c>
      <c r="B9" s="31">
        <f>COUNTIFS(Workout_Sets!$C:$C,"&gt;="&amp;$B$3,Workout_Sets!$C:$C,"&lt;"&amp;$B$3+7,Workout_Sets!$I:$I,FALSE)</f>
        <v/>
      </c>
      <c r="D9" s="12" t="inlineStr">
        <is>
          <t>Sleep / stress</t>
        </is>
      </c>
      <c r="E9" s="70" t="n"/>
      <c r="F9" s="70" t="n"/>
    </row>
    <row r="10">
      <c r="A10" s="12" t="inlineStr">
        <is>
          <t>Volume kg</t>
        </is>
      </c>
      <c r="B10" s="31">
        <f>SUMIFS(Workout_Sets!$N:$N,Workout_Sets!$C:$C,"&gt;="&amp;$B$3,Workout_Sets!$C:$C,"&lt;"&amp;$B$3+7,Workout_Sets!$I:$I,FALSE)</f>
        <v/>
      </c>
      <c r="D10" s="12" t="inlineStr">
        <is>
          <t>Pain / recovery</t>
        </is>
      </c>
      <c r="E10" s="70" t="n"/>
      <c r="F10" s="70" t="n"/>
    </row>
    <row r="11">
      <c r="A11" s="12" t="inlineStr">
        <is>
          <t>Average steps</t>
        </is>
      </c>
      <c r="B11" s="31">
        <f>IFERROR(AVERAGEIFS(Daily_Checkins!$C:$C,Daily_Checkins!$B:$B,"&gt;="&amp;$B$3,Daily_Checkins!$B:$B,"&lt;"&amp;$B$3+7),"")</f>
        <v/>
      </c>
      <c r="D11" s="12" t="inlineStr">
        <is>
          <t>Plan for next week</t>
        </is>
      </c>
      <c r="E11" s="70" t="n"/>
      <c r="F11" s="70" t="n"/>
    </row>
    <row r="12">
      <c r="A12" s="12" t="inlineStr">
        <is>
          <t>Diet adherence %</t>
        </is>
      </c>
      <c r="B12" s="31">
        <f>IFERROR(AVERAGEIFS(Daily_Checkins!$I:$I,Daily_Checkins!$B:$B,"&gt;="&amp;$B$3,Daily_Checkins!$B:$B,"&lt;"&amp;$B$3+7),"")</f>
        <v/>
      </c>
    </row>
  </sheetData>
  <mergeCells count="1">
    <mergeCell ref="A1:F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24" customWidth="1" style="91" min="1" max="1"/>
    <col width="24" customWidth="1" style="91" min="2" max="2"/>
    <col width="24" customWidth="1" style="91" min="3" max="3"/>
    <col width="24" customWidth="1" style="91" min="4" max="4"/>
    <col width="24" customWidth="1" style="91" min="5" max="5"/>
    <col width="24" customWidth="1" style="91" min="6" max="6"/>
  </cols>
  <sheetData>
    <row r="1">
      <c r="A1" s="22" t="inlineStr">
        <is>
          <t>DietModes</t>
        </is>
      </c>
      <c r="B1" s="22" t="inlineStr">
        <is>
          <t>RFLFriendly</t>
        </is>
      </c>
      <c r="C1" s="22" t="inlineStr">
        <is>
          <t>Boolean</t>
        </is>
      </c>
      <c r="D1" s="22" t="inlineStr">
        <is>
          <t>PhaseStatus</t>
        </is>
      </c>
      <c r="E1" s="22" t="inlineStr">
        <is>
          <t>Meals</t>
        </is>
      </c>
      <c r="F1" s="22" t="inlineStr">
        <is>
          <t>Days</t>
        </is>
      </c>
    </row>
    <row r="2">
      <c r="A2" t="inlineStr">
        <is>
          <t>Normal / moderate deficit</t>
        </is>
      </c>
      <c r="B2" t="inlineStr">
        <is>
          <t>Yes</t>
        </is>
      </c>
      <c r="C2" t="inlineStr">
        <is>
          <t>TRUE</t>
        </is>
      </c>
      <c r="D2" t="inlineStr">
        <is>
          <t>Active</t>
        </is>
      </c>
      <c r="E2" t="inlineStr">
        <is>
          <t>Breakfast</t>
        </is>
      </c>
      <c r="F2" t="inlineStr">
        <is>
          <t>Monday</t>
        </is>
      </c>
    </row>
    <row r="3">
      <c r="A3" t="inlineStr">
        <is>
          <t>RFL / PSMF</t>
        </is>
      </c>
      <c r="B3" t="inlineStr">
        <is>
          <t>Maybe</t>
        </is>
      </c>
      <c r="C3" t="inlineStr">
        <is>
          <t>FALSE</t>
        </is>
      </c>
      <c r="D3" t="inlineStr">
        <is>
          <t>Completed</t>
        </is>
      </c>
      <c r="E3" t="inlineStr">
        <is>
          <t>Lunch</t>
        </is>
      </c>
      <c r="F3" t="inlineStr">
        <is>
          <t>Tuesday</t>
        </is>
      </c>
    </row>
    <row r="4">
      <c r="A4" t="inlineStr">
        <is>
          <t>Maintenance / transition</t>
        </is>
      </c>
      <c r="B4" t="inlineStr">
        <is>
          <t>No</t>
        </is>
      </c>
      <c r="D4" t="inlineStr">
        <is>
          <t>Planned</t>
        </is>
      </c>
      <c r="E4" t="inlineStr">
        <is>
          <t>Dinner</t>
        </is>
      </c>
      <c r="F4" t="inlineStr">
        <is>
          <t>Wednesday</t>
        </is>
      </c>
    </row>
    <row r="5">
      <c r="E5" t="inlineStr">
        <is>
          <t>Snack</t>
        </is>
      </c>
      <c r="F5" t="inlineStr">
        <is>
          <t>Thursday</t>
        </is>
      </c>
    </row>
    <row r="6">
      <c r="E6" t="inlineStr">
        <is>
          <t>Post-workout</t>
        </is>
      </c>
      <c r="F6" t="inlineStr">
        <is>
          <t>Friday</t>
        </is>
      </c>
    </row>
    <row r="7">
      <c r="F7" t="inlineStr">
        <is>
          <t>Saturday</t>
        </is>
      </c>
    </row>
    <row r="8">
      <c r="F8" t="inlineStr">
        <is>
          <t>Sunday</t>
        </is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selection activeCell="A1" sqref="A1"/>
    </sheetView>
  </sheetViews>
  <sheetFormatPr baseColWidth="8" defaultRowHeight="15"/>
  <cols>
    <col width="36" customWidth="1" style="91" min="1" max="1"/>
    <col width="26" customWidth="1" style="91" min="2" max="2"/>
    <col width="58" customWidth="1" style="91" min="3" max="3"/>
    <col width="12" customWidth="1" style="91" min="4" max="4"/>
    <col width="10" customWidth="1" style="91" min="5" max="5"/>
  </cols>
  <sheetData>
    <row r="1">
      <c r="A1" s="63" t="inlineStr">
        <is>
          <t>Equipment</t>
        </is>
      </c>
      <c r="B1" s="63" t="inlineStr">
        <is>
          <t>Category</t>
        </is>
      </c>
      <c r="C1" s="63" t="inlineStr">
        <is>
          <t>Description</t>
        </is>
      </c>
      <c r="D1" s="63" t="inlineStr">
        <is>
          <t>Selected</t>
        </is>
      </c>
      <c r="E1" s="63" t="inlineStr">
        <is>
          <t>Custom</t>
        </is>
      </c>
    </row>
    <row r="2">
      <c r="A2" s="64" t="inlineStr">
        <is>
          <t>Bodyweight / floor space</t>
        </is>
      </c>
      <c r="B2" s="80" t="inlineStr">
        <is>
          <t>Essentials</t>
        </is>
      </c>
      <c r="C2" s="80" t="inlineStr">
        <is>
          <t>Floor space for bodyweight exercises and mobility.</t>
        </is>
      </c>
      <c r="D2" s="80" t="b">
        <v>1</v>
      </c>
      <c r="E2" s="98" t="b">
        <v>0</v>
      </c>
    </row>
    <row r="3">
      <c r="A3" s="67" t="inlineStr">
        <is>
          <t>Power rack / squat stands</t>
        </is>
      </c>
      <c r="B3" s="70" t="inlineStr">
        <is>
          <t>Essentials</t>
        </is>
      </c>
      <c r="C3" s="70" t="inlineStr">
        <is>
          <t>Supports barbell squats, bench presses and rack work.</t>
        </is>
      </c>
      <c r="D3" s="70" t="b">
        <v>1</v>
      </c>
      <c r="E3" s="99" t="b">
        <v>0</v>
      </c>
    </row>
    <row r="4">
      <c r="A4" s="67" t="inlineStr">
        <is>
          <t>Barbell + plates</t>
        </is>
      </c>
      <c r="B4" s="70" t="inlineStr">
        <is>
          <t>Essentials</t>
        </is>
      </c>
      <c r="C4" s="70" t="inlineStr">
        <is>
          <t>Standard or Olympic barbell with loadable plates.</t>
        </is>
      </c>
      <c r="D4" s="70" t="b">
        <v>1</v>
      </c>
      <c r="E4" s="99" t="b">
        <v>0</v>
      </c>
    </row>
    <row r="5">
      <c r="A5" s="67" t="inlineStr">
        <is>
          <t>Flat bench</t>
        </is>
      </c>
      <c r="B5" s="70" t="inlineStr">
        <is>
          <t>Essentials</t>
        </is>
      </c>
      <c r="C5" s="70" t="inlineStr">
        <is>
          <t>Fixed flat bench.</t>
        </is>
      </c>
      <c r="D5" s="70" t="b">
        <v>0</v>
      </c>
      <c r="E5" s="99" t="b">
        <v>0</v>
      </c>
    </row>
    <row r="6">
      <c r="A6" s="67" t="inlineStr">
        <is>
          <t>Adjustable bench</t>
        </is>
      </c>
      <c r="B6" s="70" t="inlineStr">
        <is>
          <t>Essentials</t>
        </is>
      </c>
      <c r="C6" s="70" t="inlineStr">
        <is>
          <t>Bench that can be used flat or inclined.</t>
        </is>
      </c>
      <c r="D6" s="70" t="b">
        <v>1</v>
      </c>
      <c r="E6" s="99" t="b">
        <v>0</v>
      </c>
    </row>
    <row r="7">
      <c r="A7" s="67" t="inlineStr">
        <is>
          <t>Adjustable dumbbells</t>
        </is>
      </c>
      <c r="B7" s="70" t="inlineStr">
        <is>
          <t>Essentials</t>
        </is>
      </c>
      <c r="C7" s="70" t="inlineStr">
        <is>
          <t>Load-adjustable dumbbell pair.</t>
        </is>
      </c>
      <c r="D7" s="70" t="b">
        <v>1</v>
      </c>
      <c r="E7" s="99" t="b">
        <v>0</v>
      </c>
    </row>
    <row r="8">
      <c r="A8" s="67" t="inlineStr">
        <is>
          <t>Fixed dumbbells</t>
        </is>
      </c>
      <c r="B8" s="70" t="inlineStr">
        <is>
          <t>Essentials</t>
        </is>
      </c>
      <c r="C8" s="70" t="inlineStr">
        <is>
          <t>Fixed-weight dumbbell set.</t>
        </is>
      </c>
      <c r="D8" s="70" t="b">
        <v>0</v>
      </c>
      <c r="E8" s="99" t="b">
        <v>0</v>
      </c>
    </row>
    <row r="9">
      <c r="A9" s="67" t="inlineStr">
        <is>
          <t>Kettlebells</t>
        </is>
      </c>
      <c r="B9" s="70" t="inlineStr">
        <is>
          <t>Essentials</t>
        </is>
      </c>
      <c r="C9" s="70" t="inlineStr">
        <is>
          <t>One or more kettlebells.</t>
        </is>
      </c>
      <c r="D9" s="70" t="b">
        <v>0</v>
      </c>
      <c r="E9" s="99" t="b">
        <v>0</v>
      </c>
    </row>
    <row r="10">
      <c r="A10" s="67" t="inlineStr">
        <is>
          <t>Resistance bands / tubes</t>
        </is>
      </c>
      <c r="B10" s="70" t="inlineStr">
        <is>
          <t>Essentials</t>
        </is>
      </c>
      <c r="C10" s="70" t="inlineStr">
        <is>
          <t>Loop bands or handled resistance tubes.</t>
        </is>
      </c>
      <c r="D10" s="70" t="b">
        <v>0</v>
      </c>
      <c r="E10" s="99" t="b">
        <v>0</v>
      </c>
    </row>
    <row r="11">
      <c r="A11" s="67" t="inlineStr">
        <is>
          <t>Cable station / functional trainer</t>
        </is>
      </c>
      <c r="B11" s="70" t="inlineStr">
        <is>
          <t>Pulling and cable</t>
        </is>
      </c>
      <c r="C11" s="70" t="inlineStr">
        <is>
          <t>High and/or low adjustable cable pulley.</t>
        </is>
      </c>
      <c r="D11" s="70" t="b">
        <v>1</v>
      </c>
      <c r="E11" s="99" t="b">
        <v>0</v>
      </c>
    </row>
    <row r="12">
      <c r="A12" s="67" t="inlineStr">
        <is>
          <t>Lat pulldown / low row machine</t>
        </is>
      </c>
      <c r="B12" s="70" t="inlineStr">
        <is>
          <t>Pulling and cable</t>
        </is>
      </c>
      <c r="C12" s="70" t="inlineStr">
        <is>
          <t>Dedicated pulldown and seated-row station.</t>
        </is>
      </c>
      <c r="D12" s="70" t="b">
        <v>0</v>
      </c>
      <c r="E12" s="99" t="b">
        <v>0</v>
      </c>
    </row>
    <row r="13">
      <c r="A13" s="67" t="inlineStr">
        <is>
          <t>Pull-up bar</t>
        </is>
      </c>
      <c r="B13" s="70" t="inlineStr">
        <is>
          <t>Pulling and cable</t>
        </is>
      </c>
      <c r="C13" s="70" t="inlineStr">
        <is>
          <t>Doorway, wall or rack-mounted pull-up bar.</t>
        </is>
      </c>
      <c r="D13" s="70" t="b">
        <v>1</v>
      </c>
      <c r="E13" s="99" t="b">
        <v>0</v>
      </c>
    </row>
    <row r="14">
      <c r="A14" s="67" t="inlineStr">
        <is>
          <t>Gymnastic rings / suspension trainer</t>
        </is>
      </c>
      <c r="B14" s="70" t="inlineStr">
        <is>
          <t>Pulling and cable</t>
        </is>
      </c>
      <c r="C14" s="70" t="inlineStr">
        <is>
          <t>Rings or suspension straps with a secure anchor.</t>
        </is>
      </c>
      <c r="D14" s="70" t="b">
        <v>1</v>
      </c>
      <c r="E14" s="99" t="b">
        <v>0</v>
      </c>
    </row>
    <row r="15">
      <c r="A15" s="67" t="inlineStr">
        <is>
          <t>Dip station / parallel bars</t>
        </is>
      </c>
      <c r="B15" s="70" t="inlineStr">
        <is>
          <t>Pulling and cable</t>
        </is>
      </c>
      <c r="C15" s="70" t="inlineStr">
        <is>
          <t>Parallel bars suitable for dips and support holds.</t>
        </is>
      </c>
      <c r="D15" s="70" t="b">
        <v>0</v>
      </c>
      <c r="E15" s="99" t="b">
        <v>0</v>
      </c>
    </row>
    <row r="16">
      <c r="A16" s="67" t="inlineStr">
        <is>
          <t>Landmine attachment</t>
        </is>
      </c>
      <c r="B16" s="70" t="inlineStr">
        <is>
          <t>Pulling and cable</t>
        </is>
      </c>
      <c r="C16" s="70" t="inlineStr">
        <is>
          <t>Pivot attachment for one end of a barbell.</t>
        </is>
      </c>
      <c r="D16" s="70" t="b">
        <v>0</v>
      </c>
      <c r="E16" s="99" t="b">
        <v>0</v>
      </c>
    </row>
    <row r="17">
      <c r="A17" s="67" t="inlineStr">
        <is>
          <t>Ankle strap</t>
        </is>
      </c>
      <c r="B17" s="70" t="inlineStr">
        <is>
          <t>Pulling and cable</t>
        </is>
      </c>
      <c r="C17" s="70" t="inlineStr">
        <is>
          <t>Cable or band ankle cuff.</t>
        </is>
      </c>
      <c r="D17" s="70" t="b">
        <v>1</v>
      </c>
      <c r="E17" s="99" t="b">
        <v>0</v>
      </c>
    </row>
    <row r="18">
      <c r="A18" s="67" t="inlineStr">
        <is>
          <t>Rope cable attachment</t>
        </is>
      </c>
      <c r="B18" s="70" t="inlineStr">
        <is>
          <t>Pulling and cable</t>
        </is>
      </c>
      <c r="C18" s="70" t="inlineStr">
        <is>
          <t>Rope handle for face pulls and arm work.</t>
        </is>
      </c>
      <c r="D18" s="70" t="b">
        <v>1</v>
      </c>
      <c r="E18" s="99" t="b">
        <v>0</v>
      </c>
    </row>
    <row r="19">
      <c r="A19" s="67" t="inlineStr">
        <is>
          <t>Dip belt / loading belt</t>
        </is>
      </c>
      <c r="B19" s="70" t="inlineStr">
        <is>
          <t>Pulling and cable</t>
        </is>
      </c>
      <c r="C19" s="70" t="inlineStr">
        <is>
          <t>Belt for weighted pull-ups and dips.</t>
        </is>
      </c>
      <c r="D19" s="70" t="b">
        <v>0</v>
      </c>
      <c r="E19" s="99" t="b">
        <v>0</v>
      </c>
    </row>
    <row r="20">
      <c r="A20" s="67" t="inlineStr">
        <is>
          <t>Smith machine</t>
        </is>
      </c>
      <c r="B20" s="70" t="inlineStr">
        <is>
          <t>Specialty bars and machines</t>
        </is>
      </c>
      <c r="C20" s="70" t="inlineStr">
        <is>
          <t>Guided barbell machine.</t>
        </is>
      </c>
      <c r="D20" s="70" t="b">
        <v>0</v>
      </c>
      <c r="E20" s="99" t="b">
        <v>0</v>
      </c>
    </row>
    <row r="21">
      <c r="A21" s="67" t="inlineStr">
        <is>
          <t>Trap / hex bar</t>
        </is>
      </c>
      <c r="B21" s="70" t="inlineStr">
        <is>
          <t>Specialty bars and machines</t>
        </is>
      </c>
      <c r="C21" s="70" t="inlineStr">
        <is>
          <t>Trap or hexagonal deadlift bar.</t>
        </is>
      </c>
      <c r="D21" s="70" t="b">
        <v>0</v>
      </c>
      <c r="E21" s="99" t="b">
        <v>0</v>
      </c>
    </row>
    <row r="22">
      <c r="A22" s="67" t="inlineStr">
        <is>
          <t>Safety squat bar</t>
        </is>
      </c>
      <c r="B22" s="70" t="inlineStr">
        <is>
          <t>Specialty bars and machines</t>
        </is>
      </c>
      <c r="C22" s="70" t="inlineStr">
        <is>
          <t>Safety squat specialty bar.</t>
        </is>
      </c>
      <c r="D22" s="70" t="b">
        <v>0</v>
      </c>
      <c r="E22" s="99" t="b">
        <v>0</v>
      </c>
    </row>
    <row r="23">
      <c r="A23" s="67" t="inlineStr">
        <is>
          <t>EZ curl bar</t>
        </is>
      </c>
      <c r="B23" s="70" t="inlineStr">
        <is>
          <t>Specialty bars and machines</t>
        </is>
      </c>
      <c r="C23" s="70" t="inlineStr">
        <is>
          <t>Cambered curl bar with plates.</t>
        </is>
      </c>
      <c r="D23" s="70" t="b">
        <v>0</v>
      </c>
      <c r="E23" s="99" t="b">
        <v>0</v>
      </c>
    </row>
    <row r="24">
      <c r="A24" s="67" t="inlineStr">
        <is>
          <t>Swiss / football bar</t>
        </is>
      </c>
      <c r="B24" s="70" t="inlineStr">
        <is>
          <t>Specialty bars and machines</t>
        </is>
      </c>
      <c r="C24" s="70" t="inlineStr">
        <is>
          <t>Neutral-grip multi-grip bar.</t>
        </is>
      </c>
      <c r="D24" s="70" t="b">
        <v>0</v>
      </c>
      <c r="E24" s="99" t="b">
        <v>0</v>
      </c>
    </row>
    <row r="25">
      <c r="A25" s="67" t="inlineStr">
        <is>
          <t>Chest press / pec deck machine</t>
        </is>
      </c>
      <c r="B25" s="70" t="inlineStr">
        <is>
          <t>Specialty bars and machines</t>
        </is>
      </c>
      <c r="C25" s="70" t="inlineStr">
        <is>
          <t>Selectorized chest press, pec deck or reverse pec deck.</t>
        </is>
      </c>
      <c r="D25" s="70" t="b">
        <v>0</v>
      </c>
      <c r="E25" s="99" t="b">
        <v>0</v>
      </c>
    </row>
    <row r="26">
      <c r="A26" s="67" t="inlineStr">
        <is>
          <t>Leg press / hack squat</t>
        </is>
      </c>
      <c r="B26" s="70" t="inlineStr">
        <is>
          <t>Specialty bars and machines</t>
        </is>
      </c>
      <c r="C26" s="70" t="inlineStr">
        <is>
          <t>Leg press or hack-squat machine.</t>
        </is>
      </c>
      <c r="D26" s="70" t="b">
        <v>0</v>
      </c>
      <c r="E26" s="99" t="b">
        <v>0</v>
      </c>
    </row>
    <row r="27">
      <c r="A27" s="67" t="inlineStr">
        <is>
          <t>Leg extension machine</t>
        </is>
      </c>
      <c r="B27" s="70" t="inlineStr">
        <is>
          <t>Specialty bars and machines</t>
        </is>
      </c>
      <c r="C27" s="70" t="inlineStr">
        <is>
          <t>Dedicated knee-extension machine.</t>
        </is>
      </c>
      <c r="D27" s="70" t="b">
        <v>0</v>
      </c>
      <c r="E27" s="99" t="b">
        <v>0</v>
      </c>
    </row>
    <row r="28">
      <c r="A28" s="67" t="inlineStr">
        <is>
          <t>Leg curl machine</t>
        </is>
      </c>
      <c r="B28" s="70" t="inlineStr">
        <is>
          <t>Specialty bars and machines</t>
        </is>
      </c>
      <c r="C28" s="70" t="inlineStr">
        <is>
          <t>Seated or lying knee-flexion machine.</t>
        </is>
      </c>
      <c r="D28" s="70" t="b">
        <v>0</v>
      </c>
      <c r="E28" s="99" t="b">
        <v>0</v>
      </c>
    </row>
    <row r="29">
      <c r="A29" s="67" t="inlineStr">
        <is>
          <t>Preacher curl bench</t>
        </is>
      </c>
      <c r="B29" s="70" t="inlineStr">
        <is>
          <t>Specialty bars and machines</t>
        </is>
      </c>
      <c r="C29" s="70" t="inlineStr">
        <is>
          <t>Preacher pad or curl bench.</t>
        </is>
      </c>
      <c r="D29" s="70" t="b">
        <v>0</v>
      </c>
      <c r="E29" s="99" t="b">
        <v>0</v>
      </c>
    </row>
    <row r="30">
      <c r="A30" s="67" t="inlineStr">
        <is>
          <t>Calf raise platform / machine</t>
        </is>
      </c>
      <c r="B30" s="70" t="inlineStr">
        <is>
          <t>Lower-body and accessories</t>
        </is>
      </c>
      <c r="C30" s="70" t="inlineStr">
        <is>
          <t>Calf block, step or dedicated calf machine.</t>
        </is>
      </c>
      <c r="D30" s="70" t="b">
        <v>1</v>
      </c>
      <c r="E30" s="99" t="b">
        <v>0</v>
      </c>
    </row>
    <row r="31">
      <c r="A31" s="67" t="inlineStr">
        <is>
          <t>Glute-ham developer / Nordic bench</t>
        </is>
      </c>
      <c r="B31" s="70" t="inlineStr">
        <is>
          <t>Lower-body and accessories</t>
        </is>
      </c>
      <c r="C31" s="70" t="inlineStr">
        <is>
          <t>GHD or secure Nordic-curl station.</t>
        </is>
      </c>
      <c r="D31" s="70" t="b">
        <v>0</v>
      </c>
      <c r="E31" s="99" t="b">
        <v>0</v>
      </c>
    </row>
    <row r="32">
      <c r="A32" s="67" t="inlineStr">
        <is>
          <t>Plyo box / aerobic step</t>
        </is>
      </c>
      <c r="B32" s="70" t="inlineStr">
        <is>
          <t>Lower-body and accessories</t>
        </is>
      </c>
      <c r="C32" s="70" t="inlineStr">
        <is>
          <t>Stable box, step or platform.</t>
        </is>
      </c>
      <c r="D32" s="70" t="b">
        <v>0</v>
      </c>
      <c r="E32" s="99" t="b">
        <v>0</v>
      </c>
    </row>
    <row r="33">
      <c r="A33" s="67" t="inlineStr">
        <is>
          <t>Slant board / heel wedge</t>
        </is>
      </c>
      <c r="B33" s="70" t="inlineStr">
        <is>
          <t>Lower-body and accessories</t>
        </is>
      </c>
      <c r="C33" s="70" t="inlineStr">
        <is>
          <t>Wedge for heel-elevated squats or calf work.</t>
        </is>
      </c>
      <c r="D33" s="70" t="b">
        <v>0</v>
      </c>
      <c r="E33" s="99" t="b">
        <v>0</v>
      </c>
    </row>
    <row r="34">
      <c r="A34" s="67" t="inlineStr">
        <is>
          <t>Ab wheel</t>
        </is>
      </c>
      <c r="B34" s="70" t="inlineStr">
        <is>
          <t>Lower-body and accessories</t>
        </is>
      </c>
      <c r="C34" s="70" t="inlineStr">
        <is>
          <t>Abdominal rollout wheel.</t>
        </is>
      </c>
      <c r="D34" s="70" t="b">
        <v>1</v>
      </c>
      <c r="E34" s="99" t="b">
        <v>0</v>
      </c>
    </row>
    <row r="35">
      <c r="A35" s="67" t="inlineStr">
        <is>
          <t>Stability ball</t>
        </is>
      </c>
      <c r="B35" s="70" t="inlineStr">
        <is>
          <t>Lower-body and accessories</t>
        </is>
      </c>
      <c r="C35" s="70" t="inlineStr">
        <is>
          <t>Swiss or stability ball.</t>
        </is>
      </c>
      <c r="D35" s="70" t="b">
        <v>0</v>
      </c>
      <c r="E35" s="99" t="b">
        <v>0</v>
      </c>
    </row>
    <row r="36">
      <c r="A36" s="67" t="inlineStr">
        <is>
          <t>Weighted vest</t>
        </is>
      </c>
      <c r="B36" s="70" t="inlineStr">
        <is>
          <t>Lower-body and accessories</t>
        </is>
      </c>
      <c r="C36" s="70" t="inlineStr">
        <is>
          <t>Loadable vest.</t>
        </is>
      </c>
      <c r="D36" s="70" t="b">
        <v>0</v>
      </c>
      <c r="E36" s="99" t="b">
        <v>0</v>
      </c>
    </row>
    <row r="37">
      <c r="A37" s="67" t="inlineStr">
        <is>
          <t>Medicine ball</t>
        </is>
      </c>
      <c r="B37" s="70" t="inlineStr">
        <is>
          <t>Lower-body and accessories</t>
        </is>
      </c>
      <c r="C37" s="70" t="inlineStr">
        <is>
          <t>Medicine or slam ball.</t>
        </is>
      </c>
      <c r="D37" s="70" t="b">
        <v>0</v>
      </c>
      <c r="E37" s="99" t="b">
        <v>0</v>
      </c>
    </row>
    <row r="38">
      <c r="A38" s="67" t="inlineStr">
        <is>
          <t>Sandbag</t>
        </is>
      </c>
      <c r="B38" s="70" t="inlineStr">
        <is>
          <t>Lower-body and accessories</t>
        </is>
      </c>
      <c r="C38" s="70" t="inlineStr">
        <is>
          <t>Loadable training sandbag.</t>
        </is>
      </c>
      <c r="D38" s="70" t="b">
        <v>0</v>
      </c>
      <c r="E38" s="99" t="b">
        <v>0</v>
      </c>
    </row>
    <row r="39">
      <c r="A39" s="67" t="inlineStr">
        <is>
          <t>Treadmill</t>
        </is>
      </c>
      <c r="B39" s="70" t="inlineStr">
        <is>
          <t>Cardio and conditioning</t>
        </is>
      </c>
      <c r="C39" s="70" t="inlineStr">
        <is>
          <t>Motorized or manual treadmill.</t>
        </is>
      </c>
      <c r="D39" s="70" t="b">
        <v>0</v>
      </c>
      <c r="E39" s="99" t="b">
        <v>0</v>
      </c>
    </row>
    <row r="40">
      <c r="A40" s="67" t="inlineStr">
        <is>
          <t>Exercise bike</t>
        </is>
      </c>
      <c r="B40" s="70" t="inlineStr">
        <is>
          <t>Cardio and conditioning</t>
        </is>
      </c>
      <c r="C40" s="70" t="inlineStr">
        <is>
          <t>Upright, recumbent or spin bike.</t>
        </is>
      </c>
      <c r="D40" s="70" t="b">
        <v>0</v>
      </c>
      <c r="E40" s="99" t="b">
        <v>0</v>
      </c>
    </row>
    <row r="41">
      <c r="A41" s="67" t="inlineStr">
        <is>
          <t>Rowing machine</t>
        </is>
      </c>
      <c r="B41" s="70" t="inlineStr">
        <is>
          <t>Cardio and conditioning</t>
        </is>
      </c>
      <c r="C41" s="70" t="inlineStr">
        <is>
          <t>Indoor rowing ergometer.</t>
        </is>
      </c>
      <c r="D41" s="70" t="b">
        <v>0</v>
      </c>
      <c r="E41" s="99" t="b">
        <v>0</v>
      </c>
    </row>
    <row r="42">
      <c r="A42" s="67" t="inlineStr">
        <is>
          <t>Elliptical / cross trainer</t>
        </is>
      </c>
      <c r="B42" s="70" t="inlineStr">
        <is>
          <t>Cardio and conditioning</t>
        </is>
      </c>
      <c r="C42" s="70" t="inlineStr">
        <is>
          <t>Elliptical trainer.</t>
        </is>
      </c>
      <c r="D42" s="70" t="b">
        <v>0</v>
      </c>
      <c r="E42" s="99" t="b">
        <v>0</v>
      </c>
    </row>
    <row r="43">
      <c r="A43" s="67" t="inlineStr">
        <is>
          <t>Jump rope</t>
        </is>
      </c>
      <c r="B43" s="70" t="inlineStr">
        <is>
          <t>Cardio and conditioning</t>
        </is>
      </c>
      <c r="C43" s="70" t="inlineStr">
        <is>
          <t>Skipping rope.</t>
        </is>
      </c>
      <c r="D43" s="70" t="b">
        <v>0</v>
      </c>
      <c r="E43" s="99" t="b">
        <v>0</v>
      </c>
    </row>
    <row r="44">
      <c r="A44" s="77" t="inlineStr">
        <is>
          <t>Weight sled / prowler</t>
        </is>
      </c>
      <c r="B44" s="81" t="inlineStr">
        <is>
          <t>Cardio and conditioning</t>
        </is>
      </c>
      <c r="C44" s="81" t="inlineStr">
        <is>
          <t>Push-pull sled with usable floor space.</t>
        </is>
      </c>
      <c r="D44" s="81" t="b">
        <v>0</v>
      </c>
      <c r="E44" s="100" t="b">
        <v>0</v>
      </c>
    </row>
  </sheetData>
  <dataValidations count="2">
    <dataValidation sqref="D2:D44" showDropDown="0" showInputMessage="0" showErrorMessage="0" allowBlank="0" type="list">
      <formula1>"true,false"</formula1>
    </dataValidation>
    <dataValidation sqref="E2:E44" showDropDown="0" showInputMessage="0" showErrorMessage="0" allowBlank="0" type="list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2026-07-20T21:35:51Z</dcterms:created>
  <dcterms:modified xmlns:dcterms="http://purl.org/dc/terms/" xmlns:xsi="http://www.w3.org/2001/XMLSchema-instance" xsi:type="dcterms:W3CDTF">2026-07-20T21:35:52Z</dcterms:modified>
</cp:coreProperties>
</file>