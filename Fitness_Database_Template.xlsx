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ad963be3c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48be04733f9e4797"/>
    <x:sheet xmlns:r="http://schemas.openxmlformats.org/officeDocument/2006/relationships" name="Dashboard" sheetId="2" r:id="R26db7fcc9768427d"/>
    <x:sheet xmlns:r="http://schemas.openxmlformats.org/officeDocument/2006/relationships" name="Settings" sheetId="3" r:id="R0dadf4938f6f4de5"/>
    <x:sheet xmlns:r="http://schemas.openxmlformats.org/officeDocument/2006/relationships" name="Programs" sheetId="4" r:id="Rb185a2bd1a5f43e7"/>
    <x:sheet xmlns:r="http://schemas.openxmlformats.org/officeDocument/2006/relationships" name="Exercise_Cache" sheetId="5" r:id="R811c3f68b2114aad"/>
    <x:sheet xmlns:r="http://schemas.openxmlformats.org/officeDocument/2006/relationships" name="Alternatives" sheetId="6" r:id="Rcfdbec7f96af4661"/>
    <x:sheet xmlns:r="http://schemas.openxmlformats.org/officeDocument/2006/relationships" name="Ingredient_Cache" sheetId="7" r:id="Rf576ce1c9a434313"/>
    <x:sheet xmlns:r="http://schemas.openxmlformats.org/officeDocument/2006/relationships" name="Recipes" sheetId="8" r:id="R752a2500fb054c64"/>
    <x:sheet xmlns:r="http://schemas.openxmlformats.org/officeDocument/2006/relationships" name="Recipe_Ingredients" sheetId="9" r:id="R217b37d8110e41e9"/>
    <x:sheet xmlns:r="http://schemas.openxmlformats.org/officeDocument/2006/relationships" name="Workout_Sessions" sheetId="10" r:id="R963918fd3a3644da"/>
    <x:sheet xmlns:r="http://schemas.openxmlformats.org/officeDocument/2006/relationships" name="Workout_Sets" sheetId="11" r:id="R7a1aa87b04254670"/>
    <x:sheet xmlns:r="http://schemas.openxmlformats.org/officeDocument/2006/relationships" name="Food_Log" sheetId="12" r:id="R2b6935199615425f"/>
    <x:sheet xmlns:r="http://schemas.openxmlformats.org/officeDocument/2006/relationships" name="Body_Metrics" sheetId="13" r:id="R8612da417d644ab9"/>
    <x:sheet xmlns:r="http://schemas.openxmlformats.org/officeDocument/2006/relationships" name="Daily_Checkins" sheetId="14" r:id="R457c9d228b5a4cd3"/>
    <x:sheet xmlns:r="http://schemas.openxmlformats.org/officeDocument/2006/relationships" name="Diet_Phases" sheetId="15" r:id="Rbce1576bec2d4c18"/>
    <x:sheet xmlns:r="http://schemas.openxmlformats.org/officeDocument/2006/relationships" name="Cardio_Log" sheetId="16" r:id="R977888a23a4d45aa"/>
    <x:sheet xmlns:r="http://schemas.openxmlformats.org/officeDocument/2006/relationships" name="Progress_Photos" sheetId="17" r:id="R535232e67d4f40b7"/>
    <x:sheet xmlns:r="http://schemas.openxmlformats.org/officeDocument/2006/relationships" name="Sync_Config" sheetId="18" r:id="R0df2402793774368"/>
    <x:sheet xmlns:r="http://schemas.openxmlformats.org/officeDocument/2006/relationships" name="App_State" sheetId="19" r:id="R4e0ce0d6ef6245f4"/>
    <x:sheet xmlns:r="http://schemas.openxmlformats.org/officeDocument/2006/relationships" name="Weekly_Review" sheetId="20" r:id="R848a2e6c82cf42cb"/>
    <x:sheet xmlns:r="http://schemas.openxmlformats.org/officeDocument/2006/relationships" name="Lookup" sheetId="21" r:id="Rfc407172f495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dd-mmm"/>
    <x:numFmt numFmtId="202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64E3B"/>
      <x:name val="Carlito"/>
    </x:font>
    <x:font>
      <x:b/>
      <x:sz val="11"/>
      <x:color rgb="FFFFFFFF"/>
      <x:name val="Carlito"/>
    </x:font>
    <x:font>
      <x:b/>
      <x:sz val="15"/>
      <x:color rgb="FF1022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right"/>
    </x:xf>
    <x:xf numFmtId="0" fontId="4" fillId="5" borderId="0" xfId="0" applyNumberFormat="1" applyFont="1" applyFill="1" applyBorder="1" applyAlignment="1">
      <x:alignment horizontal="righ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right"/>
    </x:xf>
    <x:xf numFmtId="0" fontId="4" fillId="5" borderId="1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930fdb6c04651" /><Relationship Type="http://schemas.openxmlformats.org/officeDocument/2006/relationships/theme" Target="/xl/theme/theme1.xml" Id="R12ab2a908c2f49c1" /><Relationship Type="http://schemas.microsoft.com/office/2022/11/relationships/FeaturePropertyBag" Target="/xl/featurePropertyBag/featurePropertyBag.xml" Id="Re6bd273c388347d7" /><Relationship Type="http://schemas.openxmlformats.org/officeDocument/2006/relationships/sharedStrings" Target="/xl/sharedStrings.xml" Id="R5bb976f1c10d4db3" /><Relationship Type="http://schemas.openxmlformats.org/officeDocument/2006/relationships/worksheet" Target="/xl/worksheets/sheet1.xml" Id="R48be04733f9e4797" /><Relationship Type="http://schemas.openxmlformats.org/officeDocument/2006/relationships/worksheet" Target="/xl/worksheets/sheet2.xml" Id="R26db7fcc9768427d" /><Relationship Type="http://schemas.openxmlformats.org/officeDocument/2006/relationships/worksheet" Target="/xl/worksheets/sheet3.xml" Id="R0dadf4938f6f4de5" /><Relationship Type="http://schemas.openxmlformats.org/officeDocument/2006/relationships/worksheet" Target="/xl/worksheets/sheet4.xml" Id="Rb185a2bd1a5f43e7" /><Relationship Type="http://schemas.openxmlformats.org/officeDocument/2006/relationships/worksheet" Target="/xl/worksheets/sheet5.xml" Id="R811c3f68b2114aad" /><Relationship Type="http://schemas.openxmlformats.org/officeDocument/2006/relationships/worksheet" Target="/xl/worksheets/sheet6.xml" Id="Rcfdbec7f96af4661" /><Relationship Type="http://schemas.openxmlformats.org/officeDocument/2006/relationships/worksheet" Target="/xl/worksheets/sheet7.xml" Id="Rf576ce1c9a434313" /><Relationship Type="http://schemas.openxmlformats.org/officeDocument/2006/relationships/worksheet" Target="/xl/worksheets/sheet8.xml" Id="R752a2500fb054c64" /><Relationship Type="http://schemas.openxmlformats.org/officeDocument/2006/relationships/worksheet" Target="/xl/worksheets/sheet9.xml" Id="R217b37d8110e41e9" /><Relationship Type="http://schemas.openxmlformats.org/officeDocument/2006/relationships/worksheet" Target="/xl/worksheets/sheet10.xml" Id="R963918fd3a3644da" /><Relationship Type="http://schemas.openxmlformats.org/officeDocument/2006/relationships/worksheet" Target="/xl/worksheets/sheet11.xml" Id="R7a1aa87b04254670" /><Relationship Type="http://schemas.openxmlformats.org/officeDocument/2006/relationships/worksheet" Target="/xl/worksheets/sheet12.xml" Id="R2b6935199615425f" /><Relationship Type="http://schemas.openxmlformats.org/officeDocument/2006/relationships/worksheet" Target="/xl/worksheets/sheet13.xml" Id="R8612da417d644ab9" /><Relationship Type="http://schemas.openxmlformats.org/officeDocument/2006/relationships/worksheet" Target="/xl/worksheets/sheet14.xml" Id="R457c9d228b5a4cd3" /><Relationship Type="http://schemas.openxmlformats.org/officeDocument/2006/relationships/worksheet" Target="/xl/worksheets/sheet15.xml" Id="Rbce1576bec2d4c18" /><Relationship Type="http://schemas.openxmlformats.org/officeDocument/2006/relationships/worksheet" Target="/xl/worksheets/sheet16.xml" Id="R977888a23a4d45aa" /><Relationship Type="http://schemas.openxmlformats.org/officeDocument/2006/relationships/worksheet" Target="/xl/worksheets/sheet17.xml" Id="R535232e67d4f40b7" /><Relationship Type="http://schemas.openxmlformats.org/officeDocument/2006/relationships/worksheet" Target="/xl/worksheets/sheet18.xml" Id="R0df2402793774368" /><Relationship Type="http://schemas.openxmlformats.org/officeDocument/2006/relationships/worksheet" Target="/xl/worksheets/sheet19.xml" Id="R4e0ce0d6ef6245f4" /><Relationship Type="http://schemas.openxmlformats.org/officeDocument/2006/relationships/worksheet" Target="/xl/worksheets/sheet20.xml" Id="R848a2e6c82cf42cb" /><Relationship Type="http://schemas.openxmlformats.org/officeDocument/2006/relationships/worksheet" Target="/xl/worksheets/sheet21.xml" Id="Rfc407172f49549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b3afe1a6814c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training volume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Volume kg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'Dashboard'!$B$15:$B$22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-mmm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b3afe1a6814c7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715d85c78b5421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30" customHeight="1">
      <x:c r="A1" s="5" t="str">
        <x:v>Lift &amp; Cut – Mobile App + Google Sheets Database</x:v>
      </x:c>
      <x:c r="B1" s="5"/>
      <x:c r="C1" s="5"/>
      <x:c r="D1" s="5"/>
      <x:c r="E1" s="5"/>
      <x:c r="F1" s="5"/>
    </x:row>
    <x:row r="3">
      <x:c r="A3" s="12" t="str">
        <x:v>What this is</x:v>
      </x:c>
      <x:c r="B3" s="16" t="str">
        <x:v>A mobile-first fitness tracker plus a normalized spreadsheet database. The phone app is the main interface; this workbook is the cloud database, review tool, and manual-edit interface.</x:v>
      </x:c>
    </x:row>
    <x:row r="4">
      <x:c r="A4" s="12" t="str">
        <x:v>Public/private split</x:v>
      </x:c>
      <x:c r="B4" s="16" t="str">
        <x:v>Upload only the files from the GitHub Pages folder. Do not upload this personalized workbook, your private sync key, backups, or Apps Script configuration to a public repository.</x:v>
      </x:c>
    </x:row>
    <x:row r="5">
      <x:c r="A5" s="12" t="str">
        <x:v>First setup</x:v>
      </x:c>
      <x:c r="B5" s="16" t="str">
        <x:v>1) Import this workbook into Google Sheets. 2) Open Extensions &gt; Apps Script. 3) Paste Code.gs. 4) Run initialiseFitnessDatabase. 5) Deploy as a Web App. 6) Enter the /exec URL and private key in the phone app.</x:v>
      </x:c>
    </x:row>
    <x:row r="6">
      <x:c r="A6" s="12" t="str">
        <x:v>Normal workflow</x:v>
      </x:c>
      <x:c r="B6" s="16" t="str">
        <x:v>Log workouts, food, recipes, measurements, check-ins, cardio, and diet phases in the phone app. Push to Sheets when you want a cloud backup and spreadsheet refresh.</x:v>
      </x:c>
    </x:row>
    <x:row r="7">
      <x:c r="A7" s="12" t="str">
        <x:v>Editing in Sheets</x:v>
      </x:c>
      <x:c r="B7" s="16" t="str">
        <x:v>You may edit structured table sheets manually. Afterwards use Lift &amp; Cut &gt; Rebuild app state from edited tables, then Pull &amp; merge on the phone before making a new phone push.</x:v>
      </x:c>
    </x:row>
    <x:row r="8">
      <x:c r="A8" s="12" t="str">
        <x:v>Conflict safety</x:v>
      </x:c>
      <x:c r="B8" s="16" t="str">
        <x:v>The backend uses cloud revisions. If both the spreadsheet and phone changed, the app blocks a normal push until you pull and merge or deliberately force the phone copy.</x:v>
      </x:c>
    </x:row>
    <x:row r="9">
      <x:c r="A9" s="12" t="str">
        <x:v>Photos</x:v>
      </x:c>
      <x:c r="B9" s="16" t="str">
        <x:v>Progress-photo files stay on the phone and are not placed in Google Sheets. Their metadata appears in Progress_Photos. Full JSON backup includes the compressed photos.</x:v>
      </x:c>
    </x:row>
    <x:row r="10">
      <x:c r="A10" s="12" t="str">
        <x:v>RFL</x:v>
      </x:c>
      <x:c r="B10" s="16" t="str">
        <x:v>RFL targets are intentionally blank. Enter only values calculated from your edition of Lyle McDonald’s RFL. The RFL2 program reduces training volume to preserve muscle and strength.</x:v>
      </x:c>
    </x:row>
    <x:row r="11">
      <x:c r="A11" s="12" t="str">
        <x:v>Dietary defaults</x:v>
      </x:c>
      <x:c r="B11" s="16" t="str">
        <x:v>Recipe filters can avoid bell peppers and shellfish. Ingredient values are examples only; replace them with your food-label and measured-portion values.</x:v>
      </x:c>
    </x:row>
    <x:row r="12">
      <x:c r="A12" s="12" t="str">
        <x:v>Backup</x:v>
      </x:c>
      <x:c r="B12" s="16" t="str">
        <x:v>Use the app’s full JSON export regularly. Keep at least one copy outside the phone.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23" hidden="0" customWidth="1"/>
    <x:col min="5" max="5" width="17" hidden="0" customWidth="1"/>
    <x:col min="6" max="6" width="17" hidden="0" customWidth="1"/>
    <x:col min="7" max="7" width="23" hidden="0" customWidth="1"/>
    <x:col min="8" max="8" width="17" hidden="0" customWidth="1"/>
  </x:cols>
  <x:sheetData>
    <x:row r="1">
      <x:c r="A1" s="5" t="str">
        <x:v>Fitness Dashboard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Profile &amp; Diet</x:v>
      </x:c>
      <x:c r="B3" s="22" t="str">
        <x:v>Value</x:v>
      </x:c>
      <x:c r="D3" s="22" t="str">
        <x:v>Training · last 7 days</x:v>
      </x:c>
      <x:c r="E3" s="22" t="str">
        <x:v>Value</x:v>
      </x:c>
      <x:c r="G3" s="22" t="str">
        <x:v>Nutrition · today</x:v>
      </x:c>
      <x:c r="H3" s="22" t="str">
        <x:v>Value</x:v>
      </x:c>
    </x:row>
    <x:row r="4">
      <x:c r="A4" s="12" t="str">
        <x:v>Active program</x:v>
      </x:c>
      <x:c r="B4" s="31" t="str">
        <x:f>IFERROR(INDEX(Settings!$B:$B,MATCH("activeProgram",Settings!$A:$A,0)),"")</x:f>
        <x:v>UL4</x:v>
      </x:c>
      <x:c r="D4" s="12" t="str">
        <x:v>Workouts</x:v>
      </x:c>
      <x:c r="E4" s="36" t="n">
        <x:f>COUNTIFS(Workout_Sessions!$B:$B,"&gt;="&amp;TODAY()-6,Workout_Sessions!$B:$B,"&lt;="&amp;TODAY(),Workout_Sessions!$L:$L,TRUE)</x:f>
        <x:v>0</x:v>
      </x:c>
      <x:c r="G4" s="12" t="str">
        <x:v>Calories</x:v>
      </x:c>
      <x:c r="H4" s="36" t="n">
        <x:f>SUMIFS(Food_Log!$H:$H,Food_Log!$B:$B,TODAY())</x:f>
        <x:v>0</x:v>
      </x:c>
    </x:row>
    <x:row r="5">
      <x:c r="A5" s="12" t="str">
        <x:v>Diet mode</x:v>
      </x:c>
      <x:c r="B5" s="31" t="str">
        <x:f>IFERROR(INDEX(Settings!$B:$B,MATCH("dietMode",Settings!$A:$A,0)),"")</x:f>
        <x:v>Normal / moderate deficit</x:v>
      </x:c>
      <x:c r="D5" s="12" t="str">
        <x:v>Work sets</x:v>
      </x:c>
      <x:c r="E5" s="36" t="n">
        <x:f>COUNTIFS(Workout_Sets!$C:$C,"&gt;="&amp;TODAY()-6,Workout_Sets!$C:$C,"&lt;="&amp;TODAY(),Workout_Sets!$I:$I,FALSE)</x:f>
        <x:v>0</x:v>
      </x:c>
      <x:c r="G5" s="12" t="str">
        <x:v>Protein g</x:v>
      </x:c>
      <x:c r="H5" s="36" t="n">
        <x:f>SUMIFS(Food_Log!$I:$I,Food_Log!$B:$B,TODAY())</x:f>
        <x:v>0</x:v>
      </x:c>
    </x:row>
    <x:row r="6">
      <x:c r="A6" s="12" t="str">
        <x:v>Latest weight kg</x:v>
      </x:c>
      <x:c r="B6" s="36" t="str">
        <x:f>IFERROR(LOOKUP(2,1/(Body_Metrics!$B$2:$B$2000&lt;&gt;""),Body_Metrics!$C$2:$C$2000),"")</x:f>
      </x:c>
      <x:c r="D6" s="12" t="str">
        <x:v>Training volume kg</x:v>
      </x:c>
      <x:c r="E6" s="36" t="n">
        <x:f>SUMIFS(Workout_Sets!$N:$N,Workout_Sets!$C:$C,"&gt;="&amp;TODAY()-6,Workout_Sets!$C:$C,"&lt;="&amp;TODAY(),Workout_Sets!$I:$I,FALSE)</x:f>
        <x:v>0</x:v>
      </x:c>
      <x:c r="G6" s="12" t="str">
        <x:v>Carbs g</x:v>
      </x:c>
      <x:c r="H6" s="36" t="n">
        <x:f>SUMIFS(Food_Log!$J:$J,Food_Log!$B:$B,TODAY())</x:f>
        <x:v>0</x:v>
      </x:c>
    </x:row>
    <x:row r="7">
      <x:c r="A7" s="12" t="str">
        <x:v>Latest waist cm</x:v>
      </x:c>
      <x:c r="B7" s="36" t="str">
        <x:f>IFERROR(LOOKUP(2,1/(Body_Metrics!$B$2:$B$2000&lt;&gt;""),Body_Metrics!$D$2:$D$2000),"")</x:f>
      </x:c>
      <x:c r="D7" s="12" t="str">
        <x:v>Cardio minutes</x:v>
      </x:c>
      <x:c r="E7" s="36" t="n">
        <x:f>SUMIFS(Cardio_Log!$D:$D,Cardio_Log!$B:$B,"&gt;="&amp;TODAY()-6,Cardio_Log!$B:$B,"&lt;="&amp;TODAY())</x:f>
        <x:v>0</x:v>
      </x:c>
      <x:c r="G7" s="12" t="str">
        <x:v>Fat g</x:v>
      </x:c>
      <x:c r="H7" s="36" t="n">
        <x:f>SUMIFS(Food_Log!$K:$K,Food_Log!$B:$B,TODAY())</x:f>
        <x:v>0</x:v>
      </x:c>
    </x:row>
    <x:row r="8">
      <x:c r="A8" s="12" t="str">
        <x:v>7-day avg weight kg</x:v>
      </x:c>
      <x:c r="B8" s="36" t="str">
        <x:f>IFERROR(AVERAGEIFS(Body_Metrics!$C:$C,Body_Metrics!$B:$B,"&gt;="&amp;TODAY()-6,Body_Metrics!$B:$B,"&lt;="&amp;TODAY()),"")</x:f>
      </x:c>
      <x:c r="D8" s="12" t="str">
        <x:v>Average sleep hrs</x:v>
      </x:c>
      <x:c r="E8" s="36" t="str">
        <x:f>IFERROR(AVERAGEIFS(Daily_Checkins!$D:$D,Daily_Checkins!$B:$B,"&gt;="&amp;TODAY()-6,Daily_Checkins!$B:$B,"&lt;="&amp;TODAY()),"")</x:f>
      </x:c>
      <x:c r="G8" s="12" t="str">
        <x:v>Calorie target</x:v>
      </x:c>
      <x:c r="H8" s="36" t="n">
        <x:f>IF(B5="RFL / PSMF",IFERROR(INDEX(Settings!$B:$B,MATCH("rflCalorieTarget",Settings!$A:$A,0)),""),IFERROR(INDEX(Settings!$B:$B,MATCH("normalCalorieTarget",Settings!$A:$A,0)),""))</x:f>
        <x:v>2200</x:v>
      </x:c>
    </x:row>
    <x:row r="9">
      <x:c r="A9" s="12" t="str">
        <x:v>Target weight kg</x:v>
      </x:c>
      <x:c r="B9" s="36" t="str">
        <x:f>IFERROR(INDEX(Settings!$B:$B,MATCH("targetWeightKg",Settings!$A:$A,0)),"")</x:f>
      </x:c>
      <x:c r="D9" s="12" t="str">
        <x:v>Average steps</x:v>
      </x:c>
      <x:c r="E9" s="36" t="str">
        <x:f>IFERROR(AVERAGEIFS(Daily_Checkins!$C:$C,Daily_Checkins!$B:$B,"&gt;="&amp;TODAY()-6,Daily_Checkins!$B:$B,"&lt;="&amp;TODAY()),"")</x:f>
      </x:c>
      <x:c r="G9" s="12" t="str">
        <x:v>Protein target g</x:v>
      </x:c>
      <x:c r="H9" s="36" t="n">
        <x:f>IF(B5="RFL / PSMF",IFERROR(INDEX(Settings!$B:$B,MATCH("rflProteinTarget",Settings!$A:$A,0)),""),IFERROR(INDEX(Settings!$B:$B,MATCH("normalProteinTarget",Settings!$A:$A,0)),""))</x:f>
        <x:v>170</x:v>
      </x:c>
    </x:row>
    <x:row r="10">
      <x:c r="A10" s="12" t="str">
        <x:v>30-day weight change kg</x:v>
      </x:c>
      <x:c r="B10" s="36" t="str">
        <x:f>IFERROR(B6-AVERAGEIFS(Body_Metrics!$C:$C,Body_Metrics!$B:$B,"&gt;="&amp;TODAY()-30,Body_Metrics!$B:$B,"&lt;="&amp;TODAY()-24),"")</x:f>
      </x:c>
      <x:c r="D10" s="12" t="str">
        <x:v>Diet adherence %</x:v>
      </x:c>
      <x:c r="E10" s="36" t="str">
        <x:f>IFERROR(AVERAGEIFS(Daily_Checkins!$I:$I,Daily_Checkins!$B:$B,"&gt;="&amp;TODAY()-6,Daily_Checkins!$B:$B,"&lt;="&amp;TODAY()),"")</x:f>
      </x:c>
      <x:c r="G10" s="12" t="str">
        <x:v>Remaining calories</x:v>
      </x:c>
      <x:c r="H10" s="36" t="n">
        <x:f>IF(H8="","",H8-H4)</x:f>
        <x:v>2200</x:v>
      </x:c>
    </x:row>
    <x:row r="12">
      <x:c r="A12" s="12" t="str">
        <x:v>Eight-week training trend</x:v>
      </x:c>
      <x:c r="B12" s="12"/>
      <x:c r="C12" s="12"/>
      <x:c r="D12" s="12"/>
      <x:c r="E12" s="12"/>
      <x:c r="F12" s="12"/>
      <x:c r="G12" s="12"/>
      <x:c r="H12" s="12"/>
    </x:row>
    <x:row r="14">
      <x:c r="A14" s="22" t="str">
        <x:v>Week start</x:v>
      </x:c>
      <x:c r="B14" s="22" t="str">
        <x:v>Volume kg</x:v>
      </x:c>
      <x:c r="C14" s="22" t="str">
        <x:v>Workouts</x:v>
      </x:c>
    </x:row>
    <x:row r="15">
      <x:c r="A15" s="38" t="n">
        <x:v>46167</x:v>
      </x:c>
      <x:c r="B15" t="n">
        <x:f>SUMIFS(Workout_Sets!$N:$N,Workout_Sets!$C:$C,"&gt;="&amp;A15,Workout_Sets!$C:$C,"&lt;"&amp;A15+7,Workout_Sets!$I:$I,FALSE)</x:f>
        <x:v>0</x:v>
      </x:c>
      <x:c r="C15" t="n">
        <x:f>COUNTIFS(Workout_Sessions!$B:$B,"&gt;="&amp;A15,Workout_Sessions!$B:$B,"&lt;"&amp;A15+7,Workout_Sessions!$L:$L,TRUE)</x:f>
        <x:v>0</x:v>
      </x:c>
    </x:row>
    <x:row r="16">
      <x:c r="A16" s="38" t="n">
        <x:v>46174</x:v>
      </x:c>
      <x:c r="B16" t="n">
        <x:f>SUMIFS(Workout_Sets!$N:$N,Workout_Sets!$C:$C,"&gt;="&amp;A16,Workout_Sets!$C:$C,"&lt;"&amp;A16+7,Workout_Sets!$I:$I,FALSE)</x:f>
        <x:v>0</x:v>
      </x:c>
      <x:c r="C16" t="n">
        <x:f>COUNTIFS(Workout_Sessions!$B:$B,"&gt;="&amp;A16,Workout_Sessions!$B:$B,"&lt;"&amp;A16+7,Workout_Sessions!$L:$L,TRUE)</x:f>
        <x:v>0</x:v>
      </x:c>
    </x:row>
    <x:row r="17">
      <x:c r="A17" s="38" t="n">
        <x:v>46181</x:v>
      </x:c>
      <x:c r="B17" t="n">
        <x:f>SUMIFS(Workout_Sets!$N:$N,Workout_Sets!$C:$C,"&gt;="&amp;A17,Workout_Sets!$C:$C,"&lt;"&amp;A17+7,Workout_Sets!$I:$I,FALSE)</x:f>
        <x:v>0</x:v>
      </x:c>
      <x:c r="C17" t="n">
        <x:f>COUNTIFS(Workout_Sessions!$B:$B,"&gt;="&amp;A17,Workout_Sessions!$B:$B,"&lt;"&amp;A17+7,Workout_Sessions!$L:$L,TRUE)</x:f>
        <x:v>0</x:v>
      </x:c>
    </x:row>
    <x:row r="18">
      <x:c r="A18" s="38" t="n">
        <x:v>46188</x:v>
      </x:c>
      <x:c r="B18" t="n">
        <x:f>SUMIFS(Workout_Sets!$N:$N,Workout_Sets!$C:$C,"&gt;="&amp;A18,Workout_Sets!$C:$C,"&lt;"&amp;A18+7,Workout_Sets!$I:$I,FALSE)</x:f>
        <x:v>0</x:v>
      </x:c>
      <x:c r="C18" t="n">
        <x:f>COUNTIFS(Workout_Sessions!$B:$B,"&gt;="&amp;A18,Workout_Sessions!$B:$B,"&lt;"&amp;A18+7,Workout_Sessions!$L:$L,TRUE)</x:f>
        <x:v>0</x:v>
      </x:c>
    </x:row>
    <x:row r="19">
      <x:c r="A19" s="38" t="n">
        <x:v>46195</x:v>
      </x:c>
      <x:c r="B19" t="n">
        <x:f>SUMIFS(Workout_Sets!$N:$N,Workout_Sets!$C:$C,"&gt;="&amp;A19,Workout_Sets!$C:$C,"&lt;"&amp;A19+7,Workout_Sets!$I:$I,FALSE)</x:f>
        <x:v>0</x:v>
      </x:c>
      <x:c r="C19" t="n">
        <x:f>COUNTIFS(Workout_Sessions!$B:$B,"&gt;="&amp;A19,Workout_Sessions!$B:$B,"&lt;"&amp;A19+7,Workout_Sessions!$L:$L,TRUE)</x:f>
        <x:v>0</x:v>
      </x:c>
    </x:row>
    <x:row r="20">
      <x:c r="A20" s="38" t="n">
        <x:v>46202</x:v>
      </x:c>
      <x:c r="B20" t="n">
        <x:f>SUMIFS(Workout_Sets!$N:$N,Workout_Sets!$C:$C,"&gt;="&amp;A20,Workout_Sets!$C:$C,"&lt;"&amp;A20+7,Workout_Sets!$I:$I,FALSE)</x:f>
        <x:v>0</x:v>
      </x:c>
      <x:c r="C20" t="n">
        <x:f>COUNTIFS(Workout_Sessions!$B:$B,"&gt;="&amp;A20,Workout_Sessions!$B:$B,"&lt;"&amp;A20+7,Workout_Sessions!$L:$L,TRUE)</x:f>
        <x:v>0</x:v>
      </x:c>
    </x:row>
    <x:row r="21">
      <x:c r="A21" s="38" t="n">
        <x:v>46209</x:v>
      </x:c>
      <x:c r="B21" t="n">
        <x:f>SUMIFS(Workout_Sets!$N:$N,Workout_Sets!$C:$C,"&gt;="&amp;A21,Workout_Sets!$C:$C,"&lt;"&amp;A21+7,Workout_Sets!$I:$I,FALSE)</x:f>
        <x:v>0</x:v>
      </x:c>
      <x:c r="C21" t="n">
        <x:f>COUNTIFS(Workout_Sessions!$B:$B,"&gt;="&amp;A21,Workout_Sessions!$B:$B,"&lt;"&amp;A21+7,Workout_Sessions!$L:$L,TRUE)</x:f>
        <x:v>0</x:v>
      </x:c>
    </x:row>
    <x:row r="22">
      <x:c r="A22" s="38" t="n">
        <x:v>46216</x:v>
      </x:c>
      <x:c r="B22" t="n">
        <x:f>SUMIFS(Workout_Sets!$N:$N,Workout_Sets!$C:$C,"&gt;="&amp;A22,Workout_Sets!$C:$C,"&lt;"&amp;A22+7,Workout_Sets!$I:$I,FALSE)</x:f>
        <x:v>0</x:v>
      </x:c>
      <x:c r="C22" t="n">
        <x:f>COUNTIFS(Workout_Sessions!$B:$B,"&gt;="&amp;A22,Workout_Sessions!$B:$B,"&lt;"&amp;A22+7,Workout_Sessions!$L:$L,TRUE)</x:f>
        <x:v>0</x:v>
      </x:c>
    </x:row>
  </x:sheetData>
  <x:mergeCells>
    <x:mergeCell ref="A1:H1"/>
    <x:mergeCell ref="A12:H12"/>
  </x:mergeCells>
  <x:pageMargins left="0.7" right="0.7" top="0.75" bottom="0.75" header="0.3" footer="0.3"/>
  <x:drawing xmlns:r="http://schemas.openxmlformats.org/officeDocument/2006/relationships" r:id="Rb715d85c78b5421e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14" hidden="0" customWidth="1"/>
    <x:col min="4" max="4" width="14" hidden="0" customWidth="1"/>
    <x:col min="5" max="5" width="50" hidden="0" customWidth="1"/>
  </x:cols>
  <x:sheetData>
    <x:row r="1" ht="30" customHeight="1">
      <x:c r="A1" s="22" t="str">
        <x:v>Key</x:v>
      </x:c>
      <x:c r="B1" s="22" t="str">
        <x:v>Value</x:v>
      </x:c>
      <x:c r="C1" s="22" t="str">
        <x:v>Type</x:v>
      </x:c>
      <x:c r="D1" s="22" t="str">
        <x:v>Group</x:v>
      </x:c>
      <x:c r="E1" s="22" t="str">
        <x:v>Description</x:v>
      </x:c>
    </x:row>
    <x:row r="2">
      <x:c r="A2" s="16" t="str">
        <x:v>profileName</x:v>
      </x:c>
      <x:c r="B2" s="16" t="str"/>
      <x:c r="C2" s="16" t="str">
        <x:v>text</x:v>
      </x:c>
      <x:c r="D2" s="16" t="str">
        <x:v>Profile</x:v>
      </x:c>
      <x:c r="E2" s="16" t="str">
        <x:v>Name shown in the app</x:v>
      </x:c>
    </x:row>
    <x:row r="3">
      <x:c r="A3" s="16" t="str">
        <x:v>age</x:v>
      </x:c>
      <x:c r="B3" s="16" t="str"/>
      <x:c r="C3" s="16" t="str">
        <x:v>number</x:v>
      </x:c>
      <x:c r="D3" s="16" t="str">
        <x:v>Profile</x:v>
      </x:c>
      <x:c r="E3" s="16" t="str">
        <x:v>Age</x:v>
      </x:c>
    </x:row>
    <x:row r="4">
      <x:c r="A4" s="16" t="str">
        <x:v>heightCm</x:v>
      </x:c>
      <x:c r="B4" s="16" t="str"/>
      <x:c r="C4" s="16" t="str">
        <x:v>number</x:v>
      </x:c>
      <x:c r="D4" s="16" t="str">
        <x:v>Profile</x:v>
      </x:c>
      <x:c r="E4" s="16" t="str">
        <x:v>Height in centimetres</x:v>
      </x:c>
    </x:row>
    <x:row r="5">
      <x:c r="A5" s="16" t="str">
        <x:v>targetWeightKg</x:v>
      </x:c>
      <x:c r="B5" s="16" t="str"/>
      <x:c r="C5" s="16" t="str">
        <x:v>number</x:v>
      </x:c>
      <x:c r="D5" s="16" t="str">
        <x:v>Profile</x:v>
      </x:c>
      <x:c r="E5" s="16" t="str">
        <x:v>Long-term weight target</x:v>
      </x:c>
    </x:row>
    <x:row r="6">
      <x:c r="A6" s="16" t="str">
        <x:v>activeProgram</x:v>
      </x:c>
      <x:c r="B6" s="16" t="str">
        <x:v>UL4</x:v>
      </x:c>
      <x:c r="C6" s="16" t="str">
        <x:v>text</x:v>
      </x:c>
      <x:c r="D6" s="16" t="str">
        <x:v>Training</x:v>
      </x:c>
      <x:c r="E6" s="16" t="str">
        <x:v>Active program ID</x:v>
      </x:c>
    </x:row>
    <x:row r="7">
      <x:c r="A7" s="16" t="str">
        <x:v>dietMode</x:v>
      </x:c>
      <x:c r="B7" s="16" t="str">
        <x:v>Normal / moderate deficit</x:v>
      </x:c>
      <x:c r="C7" s="16" t="str">
        <x:v>text</x:v>
      </x:c>
      <x:c r="D7" s="16" t="str">
        <x:v>Diet</x:v>
      </x:c>
      <x:c r="E7" s="16" t="str">
        <x:v>Current diet phase</x:v>
      </x:c>
    </x:row>
    <x:row r="8">
      <x:c r="A8" s="16" t="str">
        <x:v>normalCalorieTarget</x:v>
      </x:c>
      <x:c r="B8" s="16" t="n">
        <x:v>2200</x:v>
      </x:c>
      <x:c r="C8" s="16" t="str">
        <x:v>number</x:v>
      </x:c>
      <x:c r="D8" s="16" t="str">
        <x:v>Diet</x:v>
      </x:c>
      <x:c r="E8" s="16" t="str">
        <x:v>Daily calorie target outside RFL</x:v>
      </x:c>
    </x:row>
    <x:row r="9">
      <x:c r="A9" s="16" t="str">
        <x:v>normalProteinTarget</x:v>
      </x:c>
      <x:c r="B9" s="16" t="n">
        <x:v>170</x:v>
      </x:c>
      <x:c r="C9" s="16" t="str">
        <x:v>number</x:v>
      </x:c>
      <x:c r="D9" s="16" t="str">
        <x:v>Diet</x:v>
      </x:c>
      <x:c r="E9" s="16" t="str">
        <x:v>Daily protein target outside RFL</x:v>
      </x:c>
    </x:row>
    <x:row r="10">
      <x:c r="A10" s="16" t="str">
        <x:v>normalCarbTarget</x:v>
      </x:c>
      <x:c r="B10" s="16" t="n">
        <x:v>180</x:v>
      </x:c>
      <x:c r="C10" s="16" t="str">
        <x:v>number</x:v>
      </x:c>
      <x:c r="D10" s="16" t="str">
        <x:v>Diet</x:v>
      </x:c>
      <x:c r="E10" s="16" t="str">
        <x:v>Daily carbohydrate target outside RFL</x:v>
      </x:c>
    </x:row>
    <x:row r="11">
      <x:c r="A11" s="16" t="str">
        <x:v>normalFatTarget</x:v>
      </x:c>
      <x:c r="B11" s="16" t="n">
        <x:v>70</x:v>
      </x:c>
      <x:c r="C11" s="16" t="str">
        <x:v>number</x:v>
      </x:c>
      <x:c r="D11" s="16" t="str">
        <x:v>Diet</x:v>
      </x:c>
      <x:c r="E11" s="16" t="str">
        <x:v>Daily fat target outside RFL</x:v>
      </x:c>
    </x:row>
    <x:row r="12">
      <x:c r="A12" s="16" t="str">
        <x:v>rflCalorieTarget</x:v>
      </x:c>
      <x:c r="B12" s="16" t="str"/>
      <x:c r="C12" s="16" t="str">
        <x:v>number</x:v>
      </x:c>
      <x:c r="D12" s="16" t="str">
        <x:v>RFL</x:v>
      </x:c>
      <x:c r="E12" s="16" t="str">
        <x:v>Use your edition of RFL; do not guess</x:v>
      </x:c>
    </x:row>
    <x:row r="13">
      <x:c r="A13" s="16" t="str">
        <x:v>rflProteinTarget</x:v>
      </x:c>
      <x:c r="B13" s="16" t="str"/>
      <x:c r="C13" s="16" t="str">
        <x:v>number</x:v>
      </x:c>
      <x:c r="D13" s="16" t="str">
        <x:v>RFL</x:v>
      </x:c>
      <x:c r="E13" s="16" t="str">
        <x:v>Use your edition of RFL; do not guess</x:v>
      </x:c>
    </x:row>
    <x:row r="14">
      <x:c r="A14" s="16" t="str">
        <x:v>rflCarbTarget</x:v>
      </x:c>
      <x:c r="B14" s="16" t="str"/>
      <x:c r="C14" s="16" t="str">
        <x:v>number</x:v>
      </x:c>
      <x:c r="D14" s="16" t="str">
        <x:v>RFL</x:v>
      </x:c>
      <x:c r="E14" s="16" t="str">
        <x:v>Use your edition of RFL; do not guess</x:v>
      </x:c>
    </x:row>
    <x:row r="15">
      <x:c r="A15" s="16" t="str">
        <x:v>rflFatTarget</x:v>
      </x:c>
      <x:c r="B15" s="16" t="str"/>
      <x:c r="C15" s="16" t="str">
        <x:v>number</x:v>
      </x:c>
      <x:c r="D15" s="16" t="str">
        <x:v>RFL</x:v>
      </x:c>
      <x:c r="E15" s="16" t="str">
        <x:v>Use your edition of RFL; do not guess</x:v>
      </x:c>
    </x:row>
    <x:row r="16">
      <x:c r="A16" s="16" t="str">
        <x:v>stepsTarget</x:v>
      </x:c>
      <x:c r="B16" s="16" t="n">
        <x:v>8000</x:v>
      </x:c>
      <x:c r="C16" s="16" t="str">
        <x:v>number</x:v>
      </x:c>
      <x:c r="D16" s="16" t="str">
        <x:v>Recovery</x:v>
      </x:c>
      <x:c r="E16" s="16" t="str">
        <x:v>Daily step target</x:v>
      </x:c>
    </x:row>
    <x:row r="17">
      <x:c r="A17" s="16" t="str">
        <x:v>sleepTargetHrs</x:v>
      </x:c>
      <x:c r="B17" s="16" t="n">
        <x:v>7.5</x:v>
      </x:c>
      <x:c r="C17" s="16" t="str">
        <x:v>number</x:v>
      </x:c>
      <x:c r="D17" s="16" t="str">
        <x:v>Recovery</x:v>
      </x:c>
      <x:c r="E17" s="16" t="str">
        <x:v>Daily sleep target</x:v>
      </x:c>
    </x:row>
    <x:row r="18">
      <x:c r="A18" s="16" t="str">
        <x:v>waterTargetMl</x:v>
      </x:c>
      <x:c r="B18" s="16" t="n">
        <x:v>2500</x:v>
      </x:c>
      <x:c r="C18" s="16" t="str">
        <x:v>number</x:v>
      </x:c>
      <x:c r="D18" s="16" t="str">
        <x:v>Recovery</x:v>
      </x:c>
      <x:c r="E18" s="16" t="str">
        <x:v>Daily water target</x:v>
      </x:c>
    </x:row>
    <x:row r="19">
      <x:c r="A19" s="16" t="str">
        <x:v>noBellPeppers</x:v>
      </x:c>
      <x:c r="B19" s="42" t="b">
        <x:v>0</x:v>
      </x:c>
      <x:c r="C19" s="16" t="str">
        <x:v>boolean</x:v>
      </x:c>
      <x:c r="D19" s="16" t="str">
        <x:v>Diet</x:v>
      </x:c>
      <x:c r="E19" s="16" t="str">
        <x:v>Recipe preference</x:v>
      </x:c>
    </x:row>
    <x:row r="20">
      <x:c r="A20" s="16" t="str">
        <x:v>noShellfish</x:v>
      </x:c>
      <x:c r="B20" s="42" t="b">
        <x:v>0</x:v>
      </x:c>
      <x:c r="C20" s="16" t="str">
        <x:v>boolean</x:v>
      </x:c>
      <x:c r="D20" s="16" t="str">
        <x:v>Diet</x:v>
      </x:c>
      <x:c r="E20" s="16" t="str">
        <x:v>Recipe preference</x:v>
      </x:c>
    </x:row>
    <x:row r="21">
      <x:c r="A21" s="16" t="str">
        <x:v>lastSession</x:v>
      </x:c>
      <x:c r="B21" s="16" t="str">
        <x:v>UL4|lower-a</x:v>
      </x:c>
      <x:c r="C21" s="16" t="str">
        <x:v>text</x:v>
      </x:c>
      <x:c r="D21" s="16" t="str">
        <x:v>Training</x:v>
      </x:c>
      <x:c r="E21" s="16" t="str">
        <x:v>Last selected ProgramID|SessionID</x:v>
      </x:c>
    </x:row>
    <x:row r="22">
      <x:c r="A22" s="16" t="str">
        <x:v>weekStartsMonday</x:v>
      </x:c>
      <x:c r="B22" s="42" t="b">
        <x:v>1</x:v>
      </x:c>
      <x:c r="C22" s="16" t="str">
        <x:v>boolean</x:v>
      </x:c>
      <x:c r="D22" s="16" t="str">
        <x:v>App</x:v>
      </x:c>
      <x:c r="E22" s="16" t="str">
        <x:v>Week starts Monday</x:v>
      </x:c>
    </x:row>
    <x:row r="23">
      <x:c r="A23" s="16" t="str">
        <x:v>availableEquipment</x:v>
      </x:c>
      <x:c r="B23" s="16" t="str">
        <x:v>["Power rack", "Barbell", "Adjustable bench", "Dumbbells", "Cable station", "Chin-up bar / rings", "Calf setup", "Ab wheel"]</x:v>
      </x:c>
      <x:c r="C23" s="16" t="str">
        <x:v>json</x:v>
      </x:c>
      <x:c r="D23" s="16" t="str">
        <x:v>Training</x:v>
      </x:c>
      <x:c r="E23" s="16" t="str">
        <x:v>JSON array used by substitutions</x:v>
      </x:c>
    </x:row>
    <x:row r="24">
      <x:c r="A24" s="16" t="str">
        <x:v>restTimerDefaultSec</x:v>
      </x:c>
      <x:c r="B24" s="16" t="n">
        <x:v>120</x:v>
      </x:c>
      <x:c r="C24" s="16" t="str">
        <x:v>number</x:v>
      </x:c>
      <x:c r="D24" s="16" t="str">
        <x:v>Training</x:v>
      </x:c>
      <x:c r="E24" s="16" t="str">
        <x:v>Default rest timer</x:v>
      </x:c>
    </x:row>
    <x:row r="25">
      <x:c r="A25" s="16" t="str">
        <x:v>theme</x:v>
      </x:c>
      <x:c r="B25" s="16" t="str">
        <x:v>system</x:v>
      </x:c>
      <x:c r="C25" s="16" t="str">
        <x:v>text</x:v>
      </x:c>
      <x:c r="D25" s="16" t="str">
        <x:v>App</x:v>
      </x:c>
      <x:c r="E25" s="16" t="str">
        <x:v>system, light, or dark</x:v>
      </x:c>
    </x:row>
  </x:sheetData>
  <x:dataValidations count="2">
    <x:dataValidation type="list" sqref="B6">
      <x:formula1>"UL4,RFL2,GVS_EXTRA"</x:formula1>
    </x:dataValidation>
    <x:dataValidation type="list" sqref="B7">
      <x:formula1>"Normal / moderate deficit,RFL / PSMF,Maintenance / transition"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28" hidden="0" customWidth="1"/>
    <x:col min="3" max="3" width="20" hidden="0" customWidth="1"/>
    <x:col min="4" max="4" width="28" hidden="0" customWidth="1"/>
    <x:col min="5" max="5" width="10.880000114440918" hidden="0" customWidth="1"/>
    <x:col min="6" max="6" width="28" hidden="0" customWidth="1"/>
    <x:col min="7" max="7" width="7.380000114440918" hidden="0" customWidth="1"/>
    <x:col min="8" max="8" width="10.630000114440918" hidden="0" customWidth="1"/>
    <x:col min="9" max="9" width="28" hidden="0" customWidth="1"/>
    <x:col min="10" max="10" width="17.6299991607666" hidden="0" customWidth="1"/>
    <x:col min="11" max="11" width="8.380000114440918" hidden="0" customWidth="1"/>
    <x:col min="12" max="12" width="28" hidden="0" customWidth="1"/>
    <x:col min="13" max="13" width="11.130000114440918" hidden="0" customWidth="1"/>
    <x:col min="14" max="14" width="3.75" hidden="0" customWidth="1"/>
    <x:col min="15" max="15" width="10.5" hidden="0" customWidth="1"/>
    <x:col min="16" max="16" width="15" hidden="0" customWidth="1"/>
    <x:col min="17" max="17" width="6.380000114440918" hidden="0" customWidth="1"/>
    <x:col min="18" max="18" width="28" hidden="0" customWidth="1"/>
    <x:col min="19" max="19" width="5.25" hidden="0" customWidth="1"/>
    <x:col min="20" max="20" width="10.25" hidden="0" customWidth="1"/>
  </x:cols>
  <x:sheetData>
    <x:row r="1" ht="30" customHeight="1">
      <x:c r="A1" s="22" t="str">
        <x:v>ProgramID</x:v>
      </x:c>
      <x:c r="B1" s="22" t="str">
        <x:v>ProgramName</x:v>
      </x:c>
      <x:c r="C1" s="22" t="str">
        <x:v>Mode</x:v>
      </x:c>
      <x:c r="D1" s="22" t="str">
        <x:v>ProgramDescription</x:v>
      </x:c>
      <x:c r="E1" s="22" t="str">
        <x:v>SessionID</x:v>
      </x:c>
      <x:c r="F1" s="22" t="str">
        <x:v>SessionName</x:v>
      </x:c>
      <x:c r="G1" s="22" t="str">
        <x:v>Day</x:v>
      </x:c>
      <x:c r="H1" s="22" t="str">
        <x:v>SessionOrder</x:v>
      </x:c>
      <x:c r="I1" s="22" t="str">
        <x:v>SessionNotes</x:v>
      </x:c>
      <x:c r="J1" s="22" t="str">
        <x:v>SlotID</x:v>
      </x:c>
      <x:c r="K1" s="22" t="str">
        <x:v>ExerciseID</x:v>
      </x:c>
      <x:c r="L1" s="22" t="str">
        <x:v>Exercise</x:v>
      </x:c>
      <x:c r="M1" s="22" t="str">
        <x:v>ExerciseOrder</x:v>
      </x:c>
      <x:c r="N1" s="22" t="str">
        <x:v>Sets</x:v>
      </x:c>
      <x:c r="O1" s="22" t="str">
        <x:v>RepRange</x:v>
      </x:c>
      <x:c r="P1" s="22" t="str">
        <x:v>RIR</x:v>
      </x:c>
      <x:c r="Q1" s="22" t="str">
        <x:v>RestSec</x:v>
      </x:c>
      <x:c r="R1" s="22" t="str">
        <x:v>ExerciseNotes</x:v>
      </x:c>
      <x:c r="S1" s="22" t="str">
        <x:v>Active</x:v>
      </x:c>
      <x:c r="T1" s="22" t="str">
        <x:v>UpdatedAt</x:v>
      </x:c>
    </x:row>
    <x:row r="2">
      <x:c r="A2" s="16" t="str">
        <x:v>UL4</x:v>
      </x:c>
      <x:c r="B2" s="16" t="str">
        <x:v>Normal 4-day Upper/Lower</x:v>
      </x:c>
      <x:c r="C2" s="16" t="str">
        <x:v>Normal / moderate deficit</x:v>
      </x:c>
      <x:c r="D2" s="16" t="str">
        <x:v>Four-day upper/lower plan for normal dieting, maintenance, or slow fat loss.</x:v>
      </x:c>
      <x:c r="E2" s="16" t="str">
        <x:v>lower-a</x:v>
      </x:c>
      <x:c r="F2" s="16" t="str">
        <x:v>Lower A</x:v>
      </x:c>
      <x:c r="G2" s="16" t="str">
        <x:v>Monday</x:v>
      </x:c>
      <x:c r="H2" s="16" t="n">
        <x:v>1</x:v>
      </x:c>
      <x:c r="I2" s="16" t="str"/>
      <x:c r="J2" s="16" t="str">
        <x:v>ul4-lower-a-1</x:v>
      </x:c>
      <x:c r="K2" s="16" t="str">
        <x:v>EX001</x:v>
      </x:c>
      <x:c r="L2" s="16" t="str">
        <x:v>High-bar back squat</x:v>
      </x:c>
      <x:c r="M2" s="16" t="n">
        <x:v>1</x:v>
      </x:c>
      <x:c r="N2" s="16" t="n">
        <x:v>3</x:v>
      </x:c>
      <x:c r="O2" s="16" t="str">
        <x:v>6-8</x:v>
      </x:c>
      <x:c r="P2" s="16" t="str">
        <x:v>1-2</x:v>
      </x:c>
      <x:c r="Q2" s="16" t="n">
        <x:v>150</x:v>
      </x:c>
      <x:c r="R2" s="16" t="str">
        <x:v>Use controlled depth; substitute if back/knees complain.</x:v>
      </x:c>
      <x:c r="S2" s="42" t="b">
        <x:v>1</x:v>
      </x:c>
      <x:c r="T2" s="16" t="n">
        <x:v>46222.416666666664</x:v>
      </x:c>
    </x:row>
    <x:row r="3">
      <x:c r="A3" s="16" t="str">
        <x:v>UL4</x:v>
      </x:c>
      <x:c r="B3" s="16" t="str">
        <x:v>Normal 4-day Upper/Lower</x:v>
      </x:c>
      <x:c r="C3" s="16" t="str">
        <x:v>Normal / moderate deficit</x:v>
      </x:c>
      <x:c r="D3" s="16" t="str">
        <x:v>Four-day upper/lower plan for normal dieting, maintenance, or slow fat loss.</x:v>
      </x:c>
      <x:c r="E3" s="16" t="str">
        <x:v>lower-a</x:v>
      </x:c>
      <x:c r="F3" s="16" t="str">
        <x:v>Lower A</x:v>
      </x:c>
      <x:c r="G3" s="16" t="str">
        <x:v>Monday</x:v>
      </x:c>
      <x:c r="H3" s="16" t="n">
        <x:v>1</x:v>
      </x:c>
      <x:c r="I3" s="16" t="str"/>
      <x:c r="J3" s="16" t="str">
        <x:v>ul4-lower-a-2</x:v>
      </x:c>
      <x:c r="K3" s="16" t="str">
        <x:v>EX008</x:v>
      </x:c>
      <x:c r="L3" s="16" t="str">
        <x:v>Romanian deadlift</x:v>
      </x:c>
      <x:c r="M3" s="16" t="n">
        <x:v>2</x:v>
      </x:c>
      <x:c r="N3" s="16" t="n">
        <x:v>3</x:v>
      </x:c>
      <x:c r="O3" s="16" t="str">
        <x:v>6-8</x:v>
      </x:c>
      <x:c r="P3" s="16" t="str">
        <x:v>1-2</x:v>
      </x:c>
      <x:c r="Q3" s="16" t="n">
        <x:v>150</x:v>
      </x:c>
      <x:c r="R3" s="16" t="str">
        <x:v>Replace with hip thrust or cable pull-through if lower back is limiting.</x:v>
      </x:c>
      <x:c r="S3" s="42" t="b">
        <x:v>1</x:v>
      </x:c>
      <x:c r="T3" s="16" t="n">
        <x:v>46222.416666666664</x:v>
      </x:c>
    </x:row>
    <x:row r="4">
      <x:c r="A4" s="16" t="str">
        <x:v>UL4</x:v>
      </x:c>
      <x:c r="B4" s="16" t="str">
        <x:v>Normal 4-day Upper/Lower</x:v>
      </x:c>
      <x:c r="C4" s="16" t="str">
        <x:v>Normal / moderate deficit</x:v>
      </x:c>
      <x:c r="D4" s="16" t="str">
        <x:v>Four-day upper/lower plan for normal dieting, maintenance, or slow fat loss.</x:v>
      </x:c>
      <x:c r="E4" s="16" t="str">
        <x:v>lower-a</x:v>
      </x:c>
      <x:c r="F4" s="16" t="str">
        <x:v>Lower A</x:v>
      </x:c>
      <x:c r="G4" s="16" t="str">
        <x:v>Monday</x:v>
      </x:c>
      <x:c r="H4" s="16" t="n">
        <x:v>1</x:v>
      </x:c>
      <x:c r="I4" s="16" t="str"/>
      <x:c r="J4" s="16" t="str">
        <x:v>ul4-lower-a-3</x:v>
      </x:c>
      <x:c r="K4" s="16" t="str">
        <x:v>EX006</x:v>
      </x:c>
      <x:c r="L4" s="16" t="str">
        <x:v>Bulgarian split squat</x:v>
      </x:c>
      <x:c r="M4" s="16" t="n">
        <x:v>3</x:v>
      </x:c>
      <x:c r="N4" s="16" t="n">
        <x:v>2</x:v>
      </x:c>
      <x:c r="O4" s="16" t="str">
        <x:v>8-12 each leg</x:v>
      </x:c>
      <x:c r="P4" s="16" t="str">
        <x:v>1-2</x:v>
      </x:c>
      <x:c r="Q4" s="16" t="n">
        <x:v>90</x:v>
      </x:c>
      <x:c r="R4" s="16" t="str"/>
      <x:c r="S4" s="42" t="b">
        <x:v>1</x:v>
      </x:c>
      <x:c r="T4" s="16" t="n">
        <x:v>46222.416666666664</x:v>
      </x:c>
    </x:row>
    <x:row r="5">
      <x:c r="A5" s="16" t="str">
        <x:v>UL4</x:v>
      </x:c>
      <x:c r="B5" s="16" t="str">
        <x:v>Normal 4-day Upper/Lower</x:v>
      </x:c>
      <x:c r="C5" s="16" t="str">
        <x:v>Normal / moderate deficit</x:v>
      </x:c>
      <x:c r="D5" s="16" t="str">
        <x:v>Four-day upper/lower plan for normal dieting, maintenance, or slow fat loss.</x:v>
      </x:c>
      <x:c r="E5" s="16" t="str">
        <x:v>lower-a</x:v>
      </x:c>
      <x:c r="F5" s="16" t="str">
        <x:v>Lower A</x:v>
      </x:c>
      <x:c r="G5" s="16" t="str">
        <x:v>Monday</x:v>
      </x:c>
      <x:c r="H5" s="16" t="n">
        <x:v>1</x:v>
      </x:c>
      <x:c r="I5" s="16" t="str"/>
      <x:c r="J5" s="16" t="str">
        <x:v>ul4-lower-a-4</x:v>
      </x:c>
      <x:c r="K5" s="16" t="str">
        <x:v>EX012</x:v>
      </x:c>
      <x:c r="L5" s="16" t="str">
        <x:v>Cable leg curl</x:v>
      </x:c>
      <x:c r="M5" s="16" t="n">
        <x:v>4</x:v>
      </x:c>
      <x:c r="N5" s="16" t="n">
        <x:v>2</x:v>
      </x:c>
      <x:c r="O5" s="16" t="str">
        <x:v>10-15</x:v>
      </x:c>
      <x:c r="P5" s="16" t="str">
        <x:v>1-2</x:v>
      </x:c>
      <x:c r="Q5" s="16" t="n">
        <x:v>90</x:v>
      </x:c>
      <x:c r="R5" s="16" t="str"/>
      <x:c r="S5" s="42" t="b">
        <x:v>1</x:v>
      </x:c>
      <x:c r="T5" s="16" t="n">
        <x:v>46222.416666666664</x:v>
      </x:c>
    </x:row>
    <x:row r="6">
      <x:c r="A6" s="16" t="str">
        <x:v>UL4</x:v>
      </x:c>
      <x:c r="B6" s="16" t="str">
        <x:v>Normal 4-day Upper/Lower</x:v>
      </x:c>
      <x:c r="C6" s="16" t="str">
        <x:v>Normal / moderate deficit</x:v>
      </x:c>
      <x:c r="D6" s="16" t="str">
        <x:v>Four-day upper/lower plan for normal dieting, maintenance, or slow fat loss.</x:v>
      </x:c>
      <x:c r="E6" s="16" t="str">
        <x:v>lower-a</x:v>
      </x:c>
      <x:c r="F6" s="16" t="str">
        <x:v>Lower A</x:v>
      </x:c>
      <x:c r="G6" s="16" t="str">
        <x:v>Monday</x:v>
      </x:c>
      <x:c r="H6" s="16" t="n">
        <x:v>1</x:v>
      </x:c>
      <x:c r="I6" s="16" t="str"/>
      <x:c r="J6" s="16" t="str">
        <x:v>ul4-lower-a-5</x:v>
      </x:c>
      <x:c r="K6" s="16" t="str">
        <x:v>EX013</x:v>
      </x:c>
      <x:c r="L6" s="16" t="str">
        <x:v>Standing calf raise</x:v>
      </x:c>
      <x:c r="M6" s="16" t="n">
        <x:v>5</x:v>
      </x:c>
      <x:c r="N6" s="16" t="n">
        <x:v>3</x:v>
      </x:c>
      <x:c r="O6" s="16" t="str">
        <x:v>8-15</x:v>
      </x:c>
      <x:c r="P6" s="16" t="str">
        <x:v>1-2</x:v>
      </x:c>
      <x:c r="Q6" s="16" t="n">
        <x:v>90</x:v>
      </x:c>
      <x:c r="R6" s="16" t="str"/>
      <x:c r="S6" s="42" t="b">
        <x:v>1</x:v>
      </x:c>
      <x:c r="T6" s="16" t="n">
        <x:v>46222.416666666664</x:v>
      </x:c>
    </x:row>
    <x:row r="7">
      <x:c r="A7" s="16" t="str">
        <x:v>UL4</x:v>
      </x:c>
      <x:c r="B7" s="16" t="str">
        <x:v>Normal 4-day Upper/Lower</x:v>
      </x:c>
      <x:c r="C7" s="16" t="str">
        <x:v>Normal / moderate deficit</x:v>
      </x:c>
      <x:c r="D7" s="16" t="str">
        <x:v>Four-day upper/lower plan for normal dieting, maintenance, or slow fat loss.</x:v>
      </x:c>
      <x:c r="E7" s="16" t="str">
        <x:v>lower-a</x:v>
      </x:c>
      <x:c r="F7" s="16" t="str">
        <x:v>Lower A</x:v>
      </x:c>
      <x:c r="G7" s="16" t="str">
        <x:v>Monday</x:v>
      </x:c>
      <x:c r="H7" s="16" t="n">
        <x:v>1</x:v>
      </x:c>
      <x:c r="I7" s="16" t="str"/>
      <x:c r="J7" s="16" t="str">
        <x:v>ul4-lower-a-6</x:v>
      </x:c>
      <x:c r="K7" s="16" t="str"/>
      <x:c r="L7" s="16" t="str">
        <x:v>Dead bug or Pallof press</x:v>
      </x:c>
      <x:c r="M7" s="16" t="n">
        <x:v>6</x:v>
      </x:c>
      <x:c r="N7" s="16" t="n">
        <x:v>2</x:v>
      </x:c>
      <x:c r="O7" s="16" t="str">
        <x:v>10-15</x:v>
      </x:c>
      <x:c r="P7" s="16" t="str">
        <x:v>2</x:v>
      </x:c>
      <x:c r="Q7" s="16" t="n">
        <x:v>90</x:v>
      </x:c>
      <x:c r="R7" s="16" t="str"/>
      <x:c r="S7" s="42" t="b">
        <x:v>1</x:v>
      </x:c>
      <x:c r="T7" s="16" t="n">
        <x:v>46222.416666666664</x:v>
      </x:c>
    </x:row>
    <x:row r="8">
      <x:c r="A8" s="16" t="str">
        <x:v>UL4</x:v>
      </x:c>
      <x:c r="B8" s="16" t="str">
        <x:v>Normal 4-day Upper/Lower</x:v>
      </x:c>
      <x:c r="C8" s="16" t="str">
        <x:v>Normal / moderate deficit</x:v>
      </x:c>
      <x:c r="D8" s="16" t="str">
        <x:v>Four-day upper/lower plan for normal dieting, maintenance, or slow fat loss.</x:v>
      </x:c>
      <x:c r="E8" s="16" t="str">
        <x:v>upper-a</x:v>
      </x:c>
      <x:c r="F8" s="16" t="str">
        <x:v>Upper A</x:v>
      </x:c>
      <x:c r="G8" s="16" t="str">
        <x:v>Tuesday</x:v>
      </x:c>
      <x:c r="H8" s="16" t="n">
        <x:v>2</x:v>
      </x:c>
      <x:c r="I8" s="16" t="str"/>
      <x:c r="J8" s="16" t="str">
        <x:v>ul4-upper-a-1</x:v>
      </x:c>
      <x:c r="K8" s="16" t="str">
        <x:v>EX014</x:v>
      </x:c>
      <x:c r="L8" s="16" t="str">
        <x:v>Barbell bench press</x:v>
      </x:c>
      <x:c r="M8" s="16" t="n">
        <x:v>1</x:v>
      </x:c>
      <x:c r="N8" s="16" t="n">
        <x:v>3</x:v>
      </x:c>
      <x:c r="O8" s="16" t="str">
        <x:v>6-8</x:v>
      </x:c>
      <x:c r="P8" s="16" t="str">
        <x:v>1-2</x:v>
      </x:c>
      <x:c r="Q8" s="16" t="n">
        <x:v>150</x:v>
      </x:c>
      <x:c r="R8" s="16" t="str"/>
      <x:c r="S8" s="42" t="b">
        <x:v>1</x:v>
      </x:c>
      <x:c r="T8" s="16" t="n">
        <x:v>46222.416666666664</x:v>
      </x:c>
    </x:row>
    <x:row r="9">
      <x:c r="A9" s="16" t="str">
        <x:v>UL4</x:v>
      </x:c>
      <x:c r="B9" s="16" t="str">
        <x:v>Normal 4-day Upper/Lower</x:v>
      </x:c>
      <x:c r="C9" s="16" t="str">
        <x:v>Normal / moderate deficit</x:v>
      </x:c>
      <x:c r="D9" s="16" t="str">
        <x:v>Four-day upper/lower plan for normal dieting, maintenance, or slow fat loss.</x:v>
      </x:c>
      <x:c r="E9" s="16" t="str">
        <x:v>upper-a</x:v>
      </x:c>
      <x:c r="F9" s="16" t="str">
        <x:v>Upper A</x:v>
      </x:c>
      <x:c r="G9" s="16" t="str">
        <x:v>Tuesday</x:v>
      </x:c>
      <x:c r="H9" s="16" t="n">
        <x:v>2</x:v>
      </x:c>
      <x:c r="I9" s="16" t="str"/>
      <x:c r="J9" s="16" t="str">
        <x:v>ul4-upper-a-2</x:v>
      </x:c>
      <x:c r="K9" s="16" t="str">
        <x:v>EX023</x:v>
      </x:c>
      <x:c r="L9" s="16" t="str">
        <x:v>Chest-supported dumbbell row</x:v>
      </x:c>
      <x:c r="M9" s="16" t="n">
        <x:v>2</x:v>
      </x:c>
      <x:c r="N9" s="16" t="n">
        <x:v>3</x:v>
      </x:c>
      <x:c r="O9" s="16" t="str">
        <x:v>6-10</x:v>
      </x:c>
      <x:c r="P9" s="16" t="str">
        <x:v>1-2</x:v>
      </x:c>
      <x:c r="Q9" s="16" t="n">
        <x:v>150</x:v>
      </x:c>
      <x:c r="R9" s="16" t="str">
        <x:v>Back-friendly row option.</x:v>
      </x:c>
      <x:c r="S9" s="42" t="b">
        <x:v>1</x:v>
      </x:c>
      <x:c r="T9" s="16" t="n">
        <x:v>46222.416666666664</x:v>
      </x:c>
    </x:row>
    <x:row r="10">
      <x:c r="A10" s="16" t="str">
        <x:v>UL4</x:v>
      </x:c>
      <x:c r="B10" s="16" t="str">
        <x:v>Normal 4-day Upper/Lower</x:v>
      </x:c>
      <x:c r="C10" s="16" t="str">
        <x:v>Normal / moderate deficit</x:v>
      </x:c>
      <x:c r="D10" s="16" t="str">
        <x:v>Four-day upper/lower plan for normal dieting, maintenance, or slow fat loss.</x:v>
      </x:c>
      <x:c r="E10" s="16" t="str">
        <x:v>upper-a</x:v>
      </x:c>
      <x:c r="F10" s="16" t="str">
        <x:v>Upper A</x:v>
      </x:c>
      <x:c r="G10" s="16" t="str">
        <x:v>Tuesday</x:v>
      </x:c>
      <x:c r="H10" s="16" t="n">
        <x:v>2</x:v>
      </x:c>
      <x:c r="I10" s="16" t="str"/>
      <x:c r="J10" s="16" t="str">
        <x:v>ul4-upper-a-3</x:v>
      </x:c>
      <x:c r="K10" s="16" t="str">
        <x:v>EX016</x:v>
      </x:c>
      <x:c r="L10" s="16" t="str">
        <x:v>Incline dumbbell press</x:v>
      </x:c>
      <x:c r="M10" s="16" t="n">
        <x:v>3</x:v>
      </x:c>
      <x:c r="N10" s="16" t="n">
        <x:v>2</x:v>
      </x:c>
      <x:c r="O10" s="16" t="str">
        <x:v>8-12</x:v>
      </x:c>
      <x:c r="P10" s="16" t="str">
        <x:v>1-2</x:v>
      </x:c>
      <x:c r="Q10" s="16" t="n">
        <x:v>90</x:v>
      </x:c>
      <x:c r="R10" s="16" t="str"/>
      <x:c r="S10" s="42" t="b">
        <x:v>1</x:v>
      </x:c>
      <x:c r="T10" s="16" t="n">
        <x:v>46222.416666666664</x:v>
      </x:c>
    </x:row>
    <x:row r="11">
      <x:c r="A11" s="16" t="str">
        <x:v>UL4</x:v>
      </x:c>
      <x:c r="B11" s="16" t="str">
        <x:v>Normal 4-day Upper/Lower</x:v>
      </x:c>
      <x:c r="C11" s="16" t="str">
        <x:v>Normal / moderate deficit</x:v>
      </x:c>
      <x:c r="D11" s="16" t="str">
        <x:v>Four-day upper/lower plan for normal dieting, maintenance, or slow fat loss.</x:v>
      </x:c>
      <x:c r="E11" s="16" t="str">
        <x:v>upper-a</x:v>
      </x:c>
      <x:c r="F11" s="16" t="str">
        <x:v>Upper A</x:v>
      </x:c>
      <x:c r="G11" s="16" t="str">
        <x:v>Tuesday</x:v>
      </x:c>
      <x:c r="H11" s="16" t="n">
        <x:v>2</x:v>
      </x:c>
      <x:c r="I11" s="16" t="str"/>
      <x:c r="J11" s="16" t="str">
        <x:v>ul4-upper-a-4</x:v>
      </x:c>
      <x:c r="K11" s="16" t="str"/>
      <x:c r="L11" s="16" t="str">
        <x:v>Cable lat pulldown or ring chin-up</x:v>
      </x:c>
      <x:c r="M11" s="16" t="n">
        <x:v>4</x:v>
      </x:c>
      <x:c r="N11" s="16" t="n">
        <x:v>2</x:v>
      </x:c>
      <x:c r="O11" s="16" t="str">
        <x:v>8-12</x:v>
      </x:c>
      <x:c r="P11" s="16" t="str">
        <x:v>1-2</x:v>
      </x:c>
      <x:c r="Q11" s="16" t="n">
        <x:v>90</x:v>
      </x:c>
      <x:c r="R11" s="16" t="str"/>
      <x:c r="S11" s="42" t="b">
        <x:v>1</x:v>
      </x:c>
      <x:c r="T11" s="16" t="n">
        <x:v>46222.416666666664</x:v>
      </x:c>
    </x:row>
    <x:row r="12">
      <x:c r="A12" s="16" t="str">
        <x:v>UL4</x:v>
      </x:c>
      <x:c r="B12" s="16" t="str">
        <x:v>Normal 4-day Upper/Lower</x:v>
      </x:c>
      <x:c r="C12" s="16" t="str">
        <x:v>Normal / moderate deficit</x:v>
      </x:c>
      <x:c r="D12" s="16" t="str">
        <x:v>Four-day upper/lower plan for normal dieting, maintenance, or slow fat loss.</x:v>
      </x:c>
      <x:c r="E12" s="16" t="str">
        <x:v>upper-a</x:v>
      </x:c>
      <x:c r="F12" s="16" t="str">
        <x:v>Upper A</x:v>
      </x:c>
      <x:c r="G12" s="16" t="str">
        <x:v>Tuesday</x:v>
      </x:c>
      <x:c r="H12" s="16" t="n">
        <x:v>2</x:v>
      </x:c>
      <x:c r="I12" s="16" t="str"/>
      <x:c r="J12" s="16" t="str">
        <x:v>ul4-upper-a-5</x:v>
      </x:c>
      <x:c r="K12" s="16" t="str">
        <x:v>EX033</x:v>
      </x:c>
      <x:c r="L12" s="16" t="str">
        <x:v>Cable lateral raise</x:v>
      </x:c>
      <x:c r="M12" s="16" t="n">
        <x:v>5</x:v>
      </x:c>
      <x:c r="N12" s="16" t="n">
        <x:v>3</x:v>
      </x:c>
      <x:c r="O12" s="16" t="str">
        <x:v>12-20</x:v>
      </x:c>
      <x:c r="P12" s="16" t="str">
        <x:v>1</x:v>
      </x:c>
      <x:c r="Q12" s="16" t="n">
        <x:v>90</x:v>
      </x:c>
      <x:c r="R12" s="16" t="str">
        <x:v>GVS-style controlled delt work.</x:v>
      </x:c>
      <x:c r="S12" s="42" t="b">
        <x:v>1</x:v>
      </x:c>
      <x:c r="T12" s="16" t="n">
        <x:v>46222.416666666664</x:v>
      </x:c>
    </x:row>
    <x:row r="13">
      <x:c r="A13" s="16" t="str">
        <x:v>UL4</x:v>
      </x:c>
      <x:c r="B13" s="16" t="str">
        <x:v>Normal 4-day Upper/Lower</x:v>
      </x:c>
      <x:c r="C13" s="16" t="str">
        <x:v>Normal / moderate deficit</x:v>
      </x:c>
      <x:c r="D13" s="16" t="str">
        <x:v>Four-day upper/lower plan for normal dieting, maintenance, or slow fat loss.</x:v>
      </x:c>
      <x:c r="E13" s="16" t="str">
        <x:v>upper-a</x:v>
      </x:c>
      <x:c r="F13" s="16" t="str">
        <x:v>Upper A</x:v>
      </x:c>
      <x:c r="G13" s="16" t="str">
        <x:v>Tuesday</x:v>
      </x:c>
      <x:c r="H13" s="16" t="n">
        <x:v>2</x:v>
      </x:c>
      <x:c r="I13" s="16" t="str"/>
      <x:c r="J13" s="16" t="str">
        <x:v>ul4-upper-a-6</x:v>
      </x:c>
      <x:c r="K13" s="16" t="str">
        <x:v>EX038</x:v>
      </x:c>
      <x:c r="L13" s="16" t="str">
        <x:v>Cable triceps pushdown</x:v>
      </x:c>
      <x:c r="M13" s="16" t="n">
        <x:v>6</x:v>
      </x:c>
      <x:c r="N13" s="16" t="n">
        <x:v>2</x:v>
      </x:c>
      <x:c r="O13" s="16" t="str">
        <x:v>10-15</x:v>
      </x:c>
      <x:c r="P13" s="16" t="str">
        <x:v>1</x:v>
      </x:c>
      <x:c r="Q13" s="16" t="n">
        <x:v>90</x:v>
      </x:c>
      <x:c r="R13" s="16" t="str"/>
      <x:c r="S13" s="42" t="b">
        <x:v>1</x:v>
      </x:c>
      <x:c r="T13" s="16" t="n">
        <x:v>46222.416666666664</x:v>
      </x:c>
    </x:row>
    <x:row r="14">
      <x:c r="A14" s="16" t="str">
        <x:v>UL4</x:v>
      </x:c>
      <x:c r="B14" s="16" t="str">
        <x:v>Normal 4-day Upper/Lower</x:v>
      </x:c>
      <x:c r="C14" s="16" t="str">
        <x:v>Normal / moderate deficit</x:v>
      </x:c>
      <x:c r="D14" s="16" t="str">
        <x:v>Four-day upper/lower plan for normal dieting, maintenance, or slow fat loss.</x:v>
      </x:c>
      <x:c r="E14" s="16" t="str">
        <x:v>upper-a</x:v>
      </x:c>
      <x:c r="F14" s="16" t="str">
        <x:v>Upper A</x:v>
      </x:c>
      <x:c r="G14" s="16" t="str">
        <x:v>Tuesday</x:v>
      </x:c>
      <x:c r="H14" s="16" t="n">
        <x:v>2</x:v>
      </x:c>
      <x:c r="I14" s="16" t="str"/>
      <x:c r="J14" s="16" t="str">
        <x:v>ul4-upper-a-7</x:v>
      </x:c>
      <x:c r="K14" s="16" t="str"/>
      <x:c r="L14" s="16" t="str">
        <x:v>Incline dumbbell or cable curl</x:v>
      </x:c>
      <x:c r="M14" s="16" t="n">
        <x:v>7</x:v>
      </x:c>
      <x:c r="N14" s="16" t="n">
        <x:v>2</x:v>
      </x:c>
      <x:c r="O14" s="16" t="str">
        <x:v>10-15</x:v>
      </x:c>
      <x:c r="P14" s="16" t="str">
        <x:v>1</x:v>
      </x:c>
      <x:c r="Q14" s="16" t="n">
        <x:v>90</x:v>
      </x:c>
      <x:c r="R14" s="16" t="str"/>
      <x:c r="S14" s="42" t="b">
        <x:v>1</x:v>
      </x:c>
      <x:c r="T14" s="16" t="n">
        <x:v>46222.416666666664</x:v>
      </x:c>
    </x:row>
    <x:row r="15">
      <x:c r="A15" s="16" t="str">
        <x:v>UL4</x:v>
      </x:c>
      <x:c r="B15" s="16" t="str">
        <x:v>Normal 4-day Upper/Lower</x:v>
      </x:c>
      <x:c r="C15" s="16" t="str">
        <x:v>Normal / moderate deficit</x:v>
      </x:c>
      <x:c r="D15" s="16" t="str">
        <x:v>Four-day upper/lower plan for normal dieting, maintenance, or slow fat loss.</x:v>
      </x:c>
      <x:c r="E15" s="16" t="str">
        <x:v>lower-b</x:v>
      </x:c>
      <x:c r="F15" s="16" t="str">
        <x:v>Lower B</x:v>
      </x:c>
      <x:c r="G15" s="16" t="str">
        <x:v>Thursday</x:v>
      </x:c>
      <x:c r="H15" s="16" t="n">
        <x:v>3</x:v>
      </x:c>
      <x:c r="I15" s="16" t="str"/>
      <x:c r="J15" s="16" t="str">
        <x:v>ul4-lower-b-1</x:v>
      </x:c>
      <x:c r="K15" s="16" t="str"/>
      <x:c r="L15" s="16" t="str">
        <x:v>Front squat or heels-elevated squat</x:v>
      </x:c>
      <x:c r="M15" s="16" t="n">
        <x:v>1</x:v>
      </x:c>
      <x:c r="N15" s="16" t="n">
        <x:v>3</x:v>
      </x:c>
      <x:c r="O15" s="16" t="str">
        <x:v>6-10</x:v>
      </x:c>
      <x:c r="P15" s="16" t="str">
        <x:v>1-2</x:v>
      </x:c>
      <x:c r="Q15" s="16" t="n">
        <x:v>150</x:v>
      </x:c>
      <x:c r="R15" s="16" t="str">
        <x:v>Choose the squat pattern that feels best.</x:v>
      </x:c>
      <x:c r="S15" s="42" t="b">
        <x:v>1</x:v>
      </x:c>
      <x:c r="T15" s="16" t="n">
        <x:v>46222.416666666664</x:v>
      </x:c>
    </x:row>
    <x:row r="16">
      <x:c r="A16" s="16" t="str">
        <x:v>UL4</x:v>
      </x:c>
      <x:c r="B16" s="16" t="str">
        <x:v>Normal 4-day Upper/Lower</x:v>
      </x:c>
      <x:c r="C16" s="16" t="str">
        <x:v>Normal / moderate deficit</x:v>
      </x:c>
      <x:c r="D16" s="16" t="str">
        <x:v>Four-day upper/lower plan for normal dieting, maintenance, or slow fat loss.</x:v>
      </x:c>
      <x:c r="E16" s="16" t="str">
        <x:v>lower-b</x:v>
      </x:c>
      <x:c r="F16" s="16" t="str">
        <x:v>Lower B</x:v>
      </x:c>
      <x:c r="G16" s="16" t="str">
        <x:v>Thursday</x:v>
      </x:c>
      <x:c r="H16" s="16" t="n">
        <x:v>3</x:v>
      </x:c>
      <x:c r="I16" s="16" t="str"/>
      <x:c r="J16" s="16" t="str">
        <x:v>ul4-lower-b-2</x:v>
      </x:c>
      <x:c r="K16" s="16" t="str">
        <x:v>EX010</x:v>
      </x:c>
      <x:c r="L16" s="16" t="str">
        <x:v>Barbell hip thrust</x:v>
      </x:c>
      <x:c r="M16" s="16" t="n">
        <x:v>2</x:v>
      </x:c>
      <x:c r="N16" s="16" t="n">
        <x:v>3</x:v>
      </x:c>
      <x:c r="O16" s="16" t="str">
        <x:v>8-12</x:v>
      </x:c>
      <x:c r="P16" s="16" t="str">
        <x:v>1-2</x:v>
      </x:c>
      <x:c r="Q16" s="16" t="n">
        <x:v>150</x:v>
      </x:c>
      <x:c r="R16" s="16" t="str"/>
      <x:c r="S16" s="42" t="b">
        <x:v>1</x:v>
      </x:c>
      <x:c r="T16" s="16" t="n">
        <x:v>46222.416666666664</x:v>
      </x:c>
    </x:row>
    <x:row r="17">
      <x:c r="A17" s="16" t="str">
        <x:v>UL4</x:v>
      </x:c>
      <x:c r="B17" s="16" t="str">
        <x:v>Normal 4-day Upper/Lower</x:v>
      </x:c>
      <x:c r="C17" s="16" t="str">
        <x:v>Normal / moderate deficit</x:v>
      </x:c>
      <x:c r="D17" s="16" t="str">
        <x:v>Four-day upper/lower plan for normal dieting, maintenance, or slow fat loss.</x:v>
      </x:c>
      <x:c r="E17" s="16" t="str">
        <x:v>lower-b</x:v>
      </x:c>
      <x:c r="F17" s="16" t="str">
        <x:v>Lower B</x:v>
      </x:c>
      <x:c r="G17" s="16" t="str">
        <x:v>Thursday</x:v>
      </x:c>
      <x:c r="H17" s="16" t="n">
        <x:v>3</x:v>
      </x:c>
      <x:c r="I17" s="16" t="str"/>
      <x:c r="J17" s="16" t="str">
        <x:v>ul4-lower-b-3</x:v>
      </x:c>
      <x:c r="K17" s="16" t="str">
        <x:v>EX007</x:v>
      </x:c>
      <x:c r="L17" s="16" t="str">
        <x:v>Reverse lunge</x:v>
      </x:c>
      <x:c r="M17" s="16" t="n">
        <x:v>3</x:v>
      </x:c>
      <x:c r="N17" s="16" t="n">
        <x:v>2</x:v>
      </x:c>
      <x:c r="O17" s="16" t="str">
        <x:v>8-12 each leg</x:v>
      </x:c>
      <x:c r="P17" s="16" t="str">
        <x:v>1-2</x:v>
      </x:c>
      <x:c r="Q17" s="16" t="n">
        <x:v>90</x:v>
      </x:c>
      <x:c r="R17" s="16" t="str"/>
      <x:c r="S17" s="42" t="b">
        <x:v>1</x:v>
      </x:c>
      <x:c r="T17" s="16" t="n">
        <x:v>46222.416666666664</x:v>
      </x:c>
    </x:row>
    <x:row r="18">
      <x:c r="A18" s="16" t="str">
        <x:v>UL4</x:v>
      </x:c>
      <x:c r="B18" s="16" t="str">
        <x:v>Normal 4-day Upper/Lower</x:v>
      </x:c>
      <x:c r="C18" s="16" t="str">
        <x:v>Normal / moderate deficit</x:v>
      </x:c>
      <x:c r="D18" s="16" t="str">
        <x:v>Four-day upper/lower plan for normal dieting, maintenance, or slow fat loss.</x:v>
      </x:c>
      <x:c r="E18" s="16" t="str">
        <x:v>lower-b</x:v>
      </x:c>
      <x:c r="F18" s="16" t="str">
        <x:v>Lower B</x:v>
      </x:c>
      <x:c r="G18" s="16" t="str">
        <x:v>Thursday</x:v>
      </x:c>
      <x:c r="H18" s="16" t="n">
        <x:v>3</x:v>
      </x:c>
      <x:c r="I18" s="16" t="str"/>
      <x:c r="J18" s="16" t="str">
        <x:v>ul4-lower-b-4</x:v>
      </x:c>
      <x:c r="K18" s="16" t="str">
        <x:v>EX012</x:v>
      </x:c>
      <x:c r="L18" s="16" t="str">
        <x:v>Cable leg curl</x:v>
      </x:c>
      <x:c r="M18" s="16" t="n">
        <x:v>4</x:v>
      </x:c>
      <x:c r="N18" s="16" t="n">
        <x:v>2</x:v>
      </x:c>
      <x:c r="O18" s="16" t="str">
        <x:v>12-20</x:v>
      </x:c>
      <x:c r="P18" s="16" t="str">
        <x:v>1-2</x:v>
      </x:c>
      <x:c r="Q18" s="16" t="n">
        <x:v>90</x:v>
      </x:c>
      <x:c r="R18" s="16" t="str"/>
      <x:c r="S18" s="42" t="b">
        <x:v>1</x:v>
      </x:c>
      <x:c r="T18" s="16" t="n">
        <x:v>46222.416666666664</x:v>
      </x:c>
    </x:row>
    <x:row r="19">
      <x:c r="A19" s="16" t="str">
        <x:v>UL4</x:v>
      </x:c>
      <x:c r="B19" s="16" t="str">
        <x:v>Normal 4-day Upper/Lower</x:v>
      </x:c>
      <x:c r="C19" s="16" t="str">
        <x:v>Normal / moderate deficit</x:v>
      </x:c>
      <x:c r="D19" s="16" t="str">
        <x:v>Four-day upper/lower plan for normal dieting, maintenance, or slow fat loss.</x:v>
      </x:c>
      <x:c r="E19" s="16" t="str">
        <x:v>lower-b</x:v>
      </x:c>
      <x:c r="F19" s="16" t="str">
        <x:v>Lower B</x:v>
      </x:c>
      <x:c r="G19" s="16" t="str">
        <x:v>Thursday</x:v>
      </x:c>
      <x:c r="H19" s="16" t="n">
        <x:v>3</x:v>
      </x:c>
      <x:c r="I19" s="16" t="str"/>
      <x:c r="J19" s="16" t="str">
        <x:v>ul4-lower-b-5</x:v>
      </x:c>
      <x:c r="K19" s="16" t="str">
        <x:v>EX013</x:v>
      </x:c>
      <x:c r="L19" s="16" t="str">
        <x:v>Standing calf raise</x:v>
      </x:c>
      <x:c r="M19" s="16" t="n">
        <x:v>5</x:v>
      </x:c>
      <x:c r="N19" s="16" t="n">
        <x:v>3</x:v>
      </x:c>
      <x:c r="O19" s="16" t="str">
        <x:v>12-20</x:v>
      </x:c>
      <x:c r="P19" s="16" t="str">
        <x:v>1-2</x:v>
      </x:c>
      <x:c r="Q19" s="16" t="n">
        <x:v>90</x:v>
      </x:c>
      <x:c r="R19" s="16" t="str"/>
      <x:c r="S19" s="42" t="b">
        <x:v>1</x:v>
      </x:c>
      <x:c r="T19" s="16" t="n">
        <x:v>46222.416666666664</x:v>
      </x:c>
    </x:row>
    <x:row r="20">
      <x:c r="A20" s="16" t="str">
        <x:v>UL4</x:v>
      </x:c>
      <x:c r="B20" s="16" t="str">
        <x:v>Normal 4-day Upper/Lower</x:v>
      </x:c>
      <x:c r="C20" s="16" t="str">
        <x:v>Normal / moderate deficit</x:v>
      </x:c>
      <x:c r="D20" s="16" t="str">
        <x:v>Four-day upper/lower plan for normal dieting, maintenance, or slow fat loss.</x:v>
      </x:c>
      <x:c r="E20" s="16" t="str">
        <x:v>lower-b</x:v>
      </x:c>
      <x:c r="F20" s="16" t="str">
        <x:v>Lower B</x:v>
      </x:c>
      <x:c r="G20" s="16" t="str">
        <x:v>Thursday</x:v>
      </x:c>
      <x:c r="H20" s="16" t="n">
        <x:v>3</x:v>
      </x:c>
      <x:c r="I20" s="16" t="str"/>
      <x:c r="J20" s="16" t="str">
        <x:v>ul4-lower-b-6</x:v>
      </x:c>
      <x:c r="K20" s="16" t="str"/>
      <x:c r="L20" s="16" t="str">
        <x:v>Ab wheel or cable crunch</x:v>
      </x:c>
      <x:c r="M20" s="16" t="n">
        <x:v>6</x:v>
      </x:c>
      <x:c r="N20" s="16" t="n">
        <x:v>2</x:v>
      </x:c>
      <x:c r="O20" s="16" t="str">
        <x:v>8-15</x:v>
      </x:c>
      <x:c r="P20" s="16" t="str">
        <x:v>1-2</x:v>
      </x:c>
      <x:c r="Q20" s="16" t="n">
        <x:v>90</x:v>
      </x:c>
      <x:c r="R20" s="16" t="str"/>
      <x:c r="S20" s="42" t="b">
        <x:v>1</x:v>
      </x:c>
      <x:c r="T20" s="16" t="n">
        <x:v>46222.416666666664</x:v>
      </x:c>
    </x:row>
    <x:row r="21">
      <x:c r="A21" s="16" t="str">
        <x:v>UL4</x:v>
      </x:c>
      <x:c r="B21" s="16" t="str">
        <x:v>Normal 4-day Upper/Lower</x:v>
      </x:c>
      <x:c r="C21" s="16" t="str">
        <x:v>Normal / moderate deficit</x:v>
      </x:c>
      <x:c r="D21" s="16" t="str">
        <x:v>Four-day upper/lower plan for normal dieting, maintenance, or slow fat loss.</x:v>
      </x:c>
      <x:c r="E21" s="16" t="str">
        <x:v>upper-b</x:v>
      </x:c>
      <x:c r="F21" s="16" t="str">
        <x:v>Upper B</x:v>
      </x:c>
      <x:c r="G21" s="16" t="str">
        <x:v>Friday</x:v>
      </x:c>
      <x:c r="H21" s="16" t="n">
        <x:v>4</x:v>
      </x:c>
      <x:c r="I21" s="16" t="str"/>
      <x:c r="J21" s="16" t="str">
        <x:v>ul4-upper-b-1</x:v>
      </x:c>
      <x:c r="K21" s="16" t="str"/>
      <x:c r="L21" s="16" t="str">
        <x:v>Weighted chin-up or heavy pulldown</x:v>
      </x:c>
      <x:c r="M21" s="16" t="n">
        <x:v>1</x:v>
      </x:c>
      <x:c r="N21" s="16" t="n">
        <x:v>3</x:v>
      </x:c>
      <x:c r="O21" s="16" t="str">
        <x:v>6-8</x:v>
      </x:c>
      <x:c r="P21" s="16" t="str">
        <x:v>1-2</x:v>
      </x:c>
      <x:c r="Q21" s="16" t="n">
        <x:v>150</x:v>
      </x:c>
      <x:c r="R21" s="16" t="str"/>
      <x:c r="S21" s="42" t="b">
        <x:v>1</x:v>
      </x:c>
      <x:c r="T21" s="16" t="n">
        <x:v>46222.416666666664</x:v>
      </x:c>
    </x:row>
    <x:row r="22">
      <x:c r="A22" s="16" t="str">
        <x:v>UL4</x:v>
      </x:c>
      <x:c r="B22" s="16" t="str">
        <x:v>Normal 4-day Upper/Lower</x:v>
      </x:c>
      <x:c r="C22" s="16" t="str">
        <x:v>Normal / moderate deficit</x:v>
      </x:c>
      <x:c r="D22" s="16" t="str">
        <x:v>Four-day upper/lower plan for normal dieting, maintenance, or slow fat loss.</x:v>
      </x:c>
      <x:c r="E22" s="16" t="str">
        <x:v>upper-b</x:v>
      </x:c>
      <x:c r="F22" s="16" t="str">
        <x:v>Upper B</x:v>
      </x:c>
      <x:c r="G22" s="16" t="str">
        <x:v>Friday</x:v>
      </x:c>
      <x:c r="H22" s="16" t="n">
        <x:v>4</x:v>
      </x:c>
      <x:c r="I22" s="16" t="str"/>
      <x:c r="J22" s="16" t="str">
        <x:v>ul4-upper-b-2</x:v>
      </x:c>
      <x:c r="K22" s="16" t="str">
        <x:v>EX020</x:v>
      </x:c>
      <x:c r="L22" s="16" t="str">
        <x:v>Seated dumbbell overhead press</x:v>
      </x:c>
      <x:c r="M22" s="16" t="n">
        <x:v>2</x:v>
      </x:c>
      <x:c r="N22" s="16" t="n">
        <x:v>3</x:v>
      </x:c>
      <x:c r="O22" s="16" t="str">
        <x:v>6-10</x:v>
      </x:c>
      <x:c r="P22" s="16" t="str">
        <x:v>1-2</x:v>
      </x:c>
      <x:c r="Q22" s="16" t="n">
        <x:v>150</x:v>
      </x:c>
      <x:c r="R22" s="16" t="str"/>
      <x:c r="S22" s="42" t="b">
        <x:v>1</x:v>
      </x:c>
      <x:c r="T22" s="16" t="n">
        <x:v>46222.416666666664</x:v>
      </x:c>
    </x:row>
    <x:row r="23">
      <x:c r="A23" s="16" t="str">
        <x:v>UL4</x:v>
      </x:c>
      <x:c r="B23" s="16" t="str">
        <x:v>Normal 4-day Upper/Lower</x:v>
      </x:c>
      <x:c r="C23" s="16" t="str">
        <x:v>Normal / moderate deficit</x:v>
      </x:c>
      <x:c r="D23" s="16" t="str">
        <x:v>Four-day upper/lower plan for normal dieting, maintenance, or slow fat loss.</x:v>
      </x:c>
      <x:c r="E23" s="16" t="str">
        <x:v>upper-b</x:v>
      </x:c>
      <x:c r="F23" s="16" t="str">
        <x:v>Upper B</x:v>
      </x:c>
      <x:c r="G23" s="16" t="str">
        <x:v>Friday</x:v>
      </x:c>
      <x:c r="H23" s="16" t="n">
        <x:v>4</x:v>
      </x:c>
      <x:c r="I23" s="16" t="str"/>
      <x:c r="J23" s="16" t="str">
        <x:v>ul4-upper-b-3</x:v>
      </x:c>
      <x:c r="K23" s="16" t="str">
        <x:v>EX024</x:v>
      </x:c>
      <x:c r="L23" s="16" t="str">
        <x:v>One-arm cable row</x:v>
      </x:c>
      <x:c r="M23" s="16" t="n">
        <x:v>3</x:v>
      </x:c>
      <x:c r="N23" s="16" t="n">
        <x:v>2</x:v>
      </x:c>
      <x:c r="O23" s="16" t="str">
        <x:v>8-12</x:v>
      </x:c>
      <x:c r="P23" s="16" t="str">
        <x:v>1-2</x:v>
      </x:c>
      <x:c r="Q23" s="16" t="n">
        <x:v>90</x:v>
      </x:c>
      <x:c r="R23" s="16" t="str"/>
      <x:c r="S23" s="42" t="b">
        <x:v>1</x:v>
      </x:c>
      <x:c r="T23" s="16" t="n">
        <x:v>46222.416666666664</x:v>
      </x:c>
    </x:row>
    <x:row r="24">
      <x:c r="A24" s="16" t="str">
        <x:v>UL4</x:v>
      </x:c>
      <x:c r="B24" s="16" t="str">
        <x:v>Normal 4-day Upper/Lower</x:v>
      </x:c>
      <x:c r="C24" s="16" t="str">
        <x:v>Normal / moderate deficit</x:v>
      </x:c>
      <x:c r="D24" s="16" t="str">
        <x:v>Four-day upper/lower plan for normal dieting, maintenance, or slow fat loss.</x:v>
      </x:c>
      <x:c r="E24" s="16" t="str">
        <x:v>upper-b</x:v>
      </x:c>
      <x:c r="F24" s="16" t="str">
        <x:v>Upper B</x:v>
      </x:c>
      <x:c r="G24" s="16" t="str">
        <x:v>Friday</x:v>
      </x:c>
      <x:c r="H24" s="16" t="n">
        <x:v>4</x:v>
      </x:c>
      <x:c r="I24" s="16" t="str"/>
      <x:c r="J24" s="16" t="str">
        <x:v>ul4-upper-b-4</x:v>
      </x:c>
      <x:c r="K24" s="16" t="str"/>
      <x:c r="L24" s="16" t="str">
        <x:v>Close-grip bench press or weighted ring push-up</x:v>
      </x:c>
      <x:c r="M24" s="16" t="n">
        <x:v>4</x:v>
      </x:c>
      <x:c r="N24" s="16" t="n">
        <x:v>2</x:v>
      </x:c>
      <x:c r="O24" s="16" t="str">
        <x:v>8-12</x:v>
      </x:c>
      <x:c r="P24" s="16" t="str">
        <x:v>1-2</x:v>
      </x:c>
      <x:c r="Q24" s="16" t="n">
        <x:v>90</x:v>
      </x:c>
      <x:c r="R24" s="16" t="str"/>
      <x:c r="S24" s="42" t="b">
        <x:v>1</x:v>
      </x:c>
      <x:c r="T24" s="16" t="n">
        <x:v>46222.416666666664</x:v>
      </x:c>
    </x:row>
    <x:row r="25">
      <x:c r="A25" s="16" t="str">
        <x:v>UL4</x:v>
      </x:c>
      <x:c r="B25" s="16" t="str">
        <x:v>Normal 4-day Upper/Lower</x:v>
      </x:c>
      <x:c r="C25" s="16" t="str">
        <x:v>Normal / moderate deficit</x:v>
      </x:c>
      <x:c r="D25" s="16" t="str">
        <x:v>Four-day upper/lower plan for normal dieting, maintenance, or slow fat loss.</x:v>
      </x:c>
      <x:c r="E25" s="16" t="str">
        <x:v>upper-b</x:v>
      </x:c>
      <x:c r="F25" s="16" t="str">
        <x:v>Upper B</x:v>
      </x:c>
      <x:c r="G25" s="16" t="str">
        <x:v>Friday</x:v>
      </x:c>
      <x:c r="H25" s="16" t="n">
        <x:v>4</x:v>
      </x:c>
      <x:c r="I25" s="16" t="str"/>
      <x:c r="J25" s="16" t="str">
        <x:v>ul4-upper-b-5</x:v>
      </x:c>
      <x:c r="K25" s="16" t="str"/>
      <x:c r="L25" s="16" t="str">
        <x:v>Cable rear-delt fly or face pull</x:v>
      </x:c>
      <x:c r="M25" s="16" t="n">
        <x:v>5</x:v>
      </x:c>
      <x:c r="N25" s="16" t="n">
        <x:v>3</x:v>
      </x:c>
      <x:c r="O25" s="16" t="str">
        <x:v>12-20</x:v>
      </x:c>
      <x:c r="P25" s="16" t="str">
        <x:v>1</x:v>
      </x:c>
      <x:c r="Q25" s="16" t="n">
        <x:v>90</x:v>
      </x:c>
      <x:c r="R25" s="16" t="str"/>
      <x:c r="S25" s="42" t="b">
        <x:v>1</x:v>
      </x:c>
      <x:c r="T25" s="16" t="n">
        <x:v>46222.416666666664</x:v>
      </x:c>
    </x:row>
    <x:row r="26">
      <x:c r="A26" s="16" t="str">
        <x:v>UL4</x:v>
      </x:c>
      <x:c r="B26" s="16" t="str">
        <x:v>Normal 4-day Upper/Lower</x:v>
      </x:c>
      <x:c r="C26" s="16" t="str">
        <x:v>Normal / moderate deficit</x:v>
      </x:c>
      <x:c r="D26" s="16" t="str">
        <x:v>Four-day upper/lower plan for normal dieting, maintenance, or slow fat loss.</x:v>
      </x:c>
      <x:c r="E26" s="16" t="str">
        <x:v>upper-b</x:v>
      </x:c>
      <x:c r="F26" s="16" t="str">
        <x:v>Upper B</x:v>
      </x:c>
      <x:c r="G26" s="16" t="str">
        <x:v>Friday</x:v>
      </x:c>
      <x:c r="H26" s="16" t="n">
        <x:v>4</x:v>
      </x:c>
      <x:c r="I26" s="16" t="str"/>
      <x:c r="J26" s="16" t="str">
        <x:v>ul4-upper-b-6</x:v>
      </x:c>
      <x:c r="K26" s="16" t="str">
        <x:v>EX033</x:v>
      </x:c>
      <x:c r="L26" s="16" t="str">
        <x:v>Cable lateral raise</x:v>
      </x:c>
      <x:c r="M26" s="16" t="n">
        <x:v>6</x:v>
      </x:c>
      <x:c r="N26" s="16" t="n">
        <x:v>2</x:v>
      </x:c>
      <x:c r="O26" s="16" t="str">
        <x:v>12-20</x:v>
      </x:c>
      <x:c r="P26" s="16" t="str">
        <x:v>1</x:v>
      </x:c>
      <x:c r="Q26" s="16" t="n">
        <x:v>90</x:v>
      </x:c>
      <x:c r="R26" s="16" t="str"/>
      <x:c r="S26" s="42" t="b">
        <x:v>1</x:v>
      </x:c>
      <x:c r="T26" s="16" t="n">
        <x:v>46222.416666666664</x:v>
      </x:c>
    </x:row>
    <x:row r="27">
      <x:c r="A27" s="16" t="str">
        <x:v>UL4</x:v>
      </x:c>
      <x:c r="B27" s="16" t="str">
        <x:v>Normal 4-day Upper/Lower</x:v>
      </x:c>
      <x:c r="C27" s="16" t="str">
        <x:v>Normal / moderate deficit</x:v>
      </x:c>
      <x:c r="D27" s="16" t="str">
        <x:v>Four-day upper/lower plan for normal dieting, maintenance, or slow fat loss.</x:v>
      </x:c>
      <x:c r="E27" s="16" t="str">
        <x:v>upper-b</x:v>
      </x:c>
      <x:c r="F27" s="16" t="str">
        <x:v>Upper B</x:v>
      </x:c>
      <x:c r="G27" s="16" t="str">
        <x:v>Friday</x:v>
      </x:c>
      <x:c r="H27" s="16" t="n">
        <x:v>4</x:v>
      </x:c>
      <x:c r="I27" s="16" t="str"/>
      <x:c r="J27" s="16" t="str">
        <x:v>ul4-upper-b-7</x:v>
      </x:c>
      <x:c r="K27" s="16" t="str">
        <x:v>EX039</x:v>
      </x:c>
      <x:c r="L27" s="16" t="str">
        <x:v>Overhead cable triceps extension</x:v>
      </x:c>
      <x:c r="M27" s="16" t="n">
        <x:v>7</x:v>
      </x:c>
      <x:c r="N27" s="16" t="n">
        <x:v>2</x:v>
      </x:c>
      <x:c r="O27" s="16" t="str">
        <x:v>10-15</x:v>
      </x:c>
      <x:c r="P27" s="16" t="str">
        <x:v>1</x:v>
      </x:c>
      <x:c r="Q27" s="16" t="n">
        <x:v>90</x:v>
      </x:c>
      <x:c r="R27" s="16" t="str"/>
      <x:c r="S27" s="42" t="b">
        <x:v>1</x:v>
      </x:c>
      <x:c r="T27" s="16" t="n">
        <x:v>46222.416666666664</x:v>
      </x:c>
    </x:row>
    <x:row r="28">
      <x:c r="A28" s="16" t="str">
        <x:v>UL4</x:v>
      </x:c>
      <x:c r="B28" s="16" t="str">
        <x:v>Normal 4-day Upper/Lower</x:v>
      </x:c>
      <x:c r="C28" s="16" t="str">
        <x:v>Normal / moderate deficit</x:v>
      </x:c>
      <x:c r="D28" s="16" t="str">
        <x:v>Four-day upper/lower plan for normal dieting, maintenance, or slow fat loss.</x:v>
      </x:c>
      <x:c r="E28" s="16" t="str">
        <x:v>upper-b</x:v>
      </x:c>
      <x:c r="F28" s="16" t="str">
        <x:v>Upper B</x:v>
      </x:c>
      <x:c r="G28" s="16" t="str">
        <x:v>Friday</x:v>
      </x:c>
      <x:c r="H28" s="16" t="n">
        <x:v>4</x:v>
      </x:c>
      <x:c r="I28" s="16" t="str"/>
      <x:c r="J28" s="16" t="str">
        <x:v>ul4-upper-b-8</x:v>
      </x:c>
      <x:c r="K28" s="16" t="str">
        <x:v>EX043</x:v>
      </x:c>
      <x:c r="L28" s="16" t="str">
        <x:v>Dumbbell hammer curl</x:v>
      </x:c>
      <x:c r="M28" s="16" t="n">
        <x:v>8</x:v>
      </x:c>
      <x:c r="N28" s="16" t="n">
        <x:v>2</x:v>
      </x:c>
      <x:c r="O28" s="16" t="str">
        <x:v>10-15</x:v>
      </x:c>
      <x:c r="P28" s="16" t="str">
        <x:v>1</x:v>
      </x:c>
      <x:c r="Q28" s="16" t="n">
        <x:v>90</x:v>
      </x:c>
      <x:c r="R28" s="16" t="str"/>
      <x:c r="S28" s="42" t="b">
        <x:v>1</x:v>
      </x:c>
      <x:c r="T28" s="16" t="n">
        <x:v>46222.416666666664</x:v>
      </x:c>
    </x:row>
    <x:row r="29">
      <x:c r="A29" s="16" t="str">
        <x:v>RFL2</x:v>
      </x:c>
      <x:c r="B29" s="16" t="str">
        <x:v>RFL 2-day Full Body</x:v>
      </x:c>
      <x:c r="C29" s="16" t="str">
        <x:v>RFL / PSMF</x:v>
      </x:c>
      <x:c r="D29" s="16" t="str">
        <x:v>Two-day low-volume full-body plan for RFL blocks; preserve strength rather than chase fatigue.</x:v>
      </x:c>
      <x:c r="E29" s="16" t="str">
        <x:v>rfl-full-body-a</x:v>
      </x:c>
      <x:c r="F29" s="16" t="str">
        <x:v>RFL Full Body A</x:v>
      </x:c>
      <x:c r="G29" s="16" t="str">
        <x:v>Monday</x:v>
      </x:c>
      <x:c r="H29" s="16" t="n">
        <x:v>1</x:v>
      </x:c>
      <x:c r="I29" s="16" t="str"/>
      <x:c r="J29" s="16" t="str">
        <x:v>rfl2-rfl-full-body-a-1</x:v>
      </x:c>
      <x:c r="K29" s="16" t="str">
        <x:v>EX001</x:v>
      </x:c>
      <x:c r="L29" s="16" t="str">
        <x:v>High-bar back squat</x:v>
      </x:c>
      <x:c r="M29" s="16" t="n">
        <x:v>1</x:v>
      </x:c>
      <x:c r="N29" s="16" t="n">
        <x:v>2</x:v>
      </x:c>
      <x:c r="O29" s="16" t="str">
        <x:v>5-8</x:v>
      </x:c>
      <x:c r="P29" s="16" t="str">
        <x:v>2-3</x:v>
      </x:c>
      <x:c r="Q29" s="16" t="n">
        <x:v>90</x:v>
      </x:c>
      <x:c r="R29" s="16" t="str">
        <x:v>Preserve strength; no grinders.</x:v>
      </x:c>
      <x:c r="S29" s="42" t="b">
        <x:v>1</x:v>
      </x:c>
      <x:c r="T29" s="16" t="n">
        <x:v>46222.416666666664</x:v>
      </x:c>
    </x:row>
    <x:row r="30">
      <x:c r="A30" s="16" t="str">
        <x:v>RFL2</x:v>
      </x:c>
      <x:c r="B30" s="16" t="str">
        <x:v>RFL 2-day Full Body</x:v>
      </x:c>
      <x:c r="C30" s="16" t="str">
        <x:v>RFL / PSMF</x:v>
      </x:c>
      <x:c r="D30" s="16" t="str">
        <x:v>Two-day low-volume full-body plan for RFL blocks; preserve strength rather than chase fatigue.</x:v>
      </x:c>
      <x:c r="E30" s="16" t="str">
        <x:v>rfl-full-body-a</x:v>
      </x:c>
      <x:c r="F30" s="16" t="str">
        <x:v>RFL Full Body A</x:v>
      </x:c>
      <x:c r="G30" s="16" t="str">
        <x:v>Monday</x:v>
      </x:c>
      <x:c r="H30" s="16" t="n">
        <x:v>1</x:v>
      </x:c>
      <x:c r="I30" s="16" t="str"/>
      <x:c r="J30" s="16" t="str">
        <x:v>rfl2-rfl-full-body-a-2</x:v>
      </x:c>
      <x:c r="K30" s="16" t="str">
        <x:v>EX014</x:v>
      </x:c>
      <x:c r="L30" s="16" t="str">
        <x:v>Barbell bench press</x:v>
      </x:c>
      <x:c r="M30" s="16" t="n">
        <x:v>2</x:v>
      </x:c>
      <x:c r="N30" s="16" t="n">
        <x:v>2</x:v>
      </x:c>
      <x:c r="O30" s="16" t="str">
        <x:v>5-8</x:v>
      </x:c>
      <x:c r="P30" s="16" t="str">
        <x:v>2-3</x:v>
      </x:c>
      <x:c r="Q30" s="16" t="n">
        <x:v>90</x:v>
      </x:c>
      <x:c r="R30" s="16" t="str"/>
      <x:c r="S30" s="42" t="b">
        <x:v>1</x:v>
      </x:c>
      <x:c r="T30" s="16" t="n">
        <x:v>46222.416666666664</x:v>
      </x:c>
    </x:row>
    <x:row r="31">
      <x:c r="A31" s="16" t="str">
        <x:v>RFL2</x:v>
      </x:c>
      <x:c r="B31" s="16" t="str">
        <x:v>RFL 2-day Full Body</x:v>
      </x:c>
      <x:c r="C31" s="16" t="str">
        <x:v>RFL / PSMF</x:v>
      </x:c>
      <x:c r="D31" s="16" t="str">
        <x:v>Two-day low-volume full-body plan for RFL blocks; preserve strength rather than chase fatigue.</x:v>
      </x:c>
      <x:c r="E31" s="16" t="str">
        <x:v>rfl-full-body-a</x:v>
      </x:c>
      <x:c r="F31" s="16" t="str">
        <x:v>RFL Full Body A</x:v>
      </x:c>
      <x:c r="G31" s="16" t="str">
        <x:v>Monday</x:v>
      </x:c>
      <x:c r="H31" s="16" t="n">
        <x:v>1</x:v>
      </x:c>
      <x:c r="I31" s="16" t="str"/>
      <x:c r="J31" s="16" t="str">
        <x:v>rfl2-rfl-full-body-a-3</x:v>
      </x:c>
      <x:c r="K31" s="16" t="str">
        <x:v>EX023</x:v>
      </x:c>
      <x:c r="L31" s="16" t="str">
        <x:v>Chest-supported dumbbell row</x:v>
      </x:c>
      <x:c r="M31" s="16" t="n">
        <x:v>3</x:v>
      </x:c>
      <x:c r="N31" s="16" t="n">
        <x:v>2</x:v>
      </x:c>
      <x:c r="O31" s="16" t="str">
        <x:v>6-10</x:v>
      </x:c>
      <x:c r="P31" s="16" t="str">
        <x:v>2-3</x:v>
      </x:c>
      <x:c r="Q31" s="16" t="n">
        <x:v>90</x:v>
      </x:c>
      <x:c r="R31" s="16" t="str"/>
      <x:c r="S31" s="42" t="b">
        <x:v>1</x:v>
      </x:c>
      <x:c r="T31" s="16" t="n">
        <x:v>46222.416666666664</x:v>
      </x:c>
    </x:row>
    <x:row r="32">
      <x:c r="A32" s="16" t="str">
        <x:v>RFL2</x:v>
      </x:c>
      <x:c r="B32" s="16" t="str">
        <x:v>RFL 2-day Full Body</x:v>
      </x:c>
      <x:c r="C32" s="16" t="str">
        <x:v>RFL / PSMF</x:v>
      </x:c>
      <x:c r="D32" s="16" t="str">
        <x:v>Two-day low-volume full-body plan for RFL blocks; preserve strength rather than chase fatigue.</x:v>
      </x:c>
      <x:c r="E32" s="16" t="str">
        <x:v>rfl-full-body-a</x:v>
      </x:c>
      <x:c r="F32" s="16" t="str">
        <x:v>RFL Full Body A</x:v>
      </x:c>
      <x:c r="G32" s="16" t="str">
        <x:v>Monday</x:v>
      </x:c>
      <x:c r="H32" s="16" t="n">
        <x:v>1</x:v>
      </x:c>
      <x:c r="I32" s="16" t="str"/>
      <x:c r="J32" s="16" t="str">
        <x:v>rfl2-rfl-full-body-a-4</x:v>
      </x:c>
      <x:c r="K32" s="16" t="str"/>
      <x:c r="L32" s="16" t="str">
        <x:v>Romanian deadlift or hip thrust</x:v>
      </x:c>
      <x:c r="M32" s="16" t="n">
        <x:v>4</x:v>
      </x:c>
      <x:c r="N32" s="16" t="n">
        <x:v>2</x:v>
      </x:c>
      <x:c r="O32" s="16" t="str">
        <x:v>6-10</x:v>
      </x:c>
      <x:c r="P32" s="16" t="str">
        <x:v>2-3</x:v>
      </x:c>
      <x:c r="Q32" s="16" t="n">
        <x:v>90</x:v>
      </x:c>
      <x:c r="R32" s="16" t="str"/>
      <x:c r="S32" s="42" t="b">
        <x:v>1</x:v>
      </x:c>
      <x:c r="T32" s="16" t="n">
        <x:v>46222.416666666664</x:v>
      </x:c>
    </x:row>
    <x:row r="33">
      <x:c r="A33" s="16" t="str">
        <x:v>RFL2</x:v>
      </x:c>
      <x:c r="B33" s="16" t="str">
        <x:v>RFL 2-day Full Body</x:v>
      </x:c>
      <x:c r="C33" s="16" t="str">
        <x:v>RFL / PSMF</x:v>
      </x:c>
      <x:c r="D33" s="16" t="str">
        <x:v>Two-day low-volume full-body plan for RFL blocks; preserve strength rather than chase fatigue.</x:v>
      </x:c>
      <x:c r="E33" s="16" t="str">
        <x:v>rfl-full-body-a</x:v>
      </x:c>
      <x:c r="F33" s="16" t="str">
        <x:v>RFL Full Body A</x:v>
      </x:c>
      <x:c r="G33" s="16" t="str">
        <x:v>Monday</x:v>
      </x:c>
      <x:c r="H33" s="16" t="n">
        <x:v>1</x:v>
      </x:c>
      <x:c r="I33" s="16" t="str"/>
      <x:c r="J33" s="16" t="str">
        <x:v>rfl2-rfl-full-body-a-5</x:v>
      </x:c>
      <x:c r="K33" s="16" t="str">
        <x:v>EX033</x:v>
      </x:c>
      <x:c r="L33" s="16" t="str">
        <x:v>Cable lateral raise</x:v>
      </x:c>
      <x:c r="M33" s="16" t="n">
        <x:v>5</x:v>
      </x:c>
      <x:c r="N33" s="16" t="n">
        <x:v>1</x:v>
      </x:c>
      <x:c r="O33" s="16" t="str">
        <x:v>12-20</x:v>
      </x:c>
      <x:c r="P33" s="16" t="str">
        <x:v>2-3</x:v>
      </x:c>
      <x:c r="Q33" s="16" t="n">
        <x:v>90</x:v>
      </x:c>
      <x:c r="R33" s="16" t="str"/>
      <x:c r="S33" s="42" t="b">
        <x:v>1</x:v>
      </x:c>
      <x:c r="T33" s="16" t="n">
        <x:v>46222.416666666664</x:v>
      </x:c>
    </x:row>
    <x:row r="34">
      <x:c r="A34" s="16" t="str">
        <x:v>RFL2</x:v>
      </x:c>
      <x:c r="B34" s="16" t="str">
        <x:v>RFL 2-day Full Body</x:v>
      </x:c>
      <x:c r="C34" s="16" t="str">
        <x:v>RFL / PSMF</x:v>
      </x:c>
      <x:c r="D34" s="16" t="str">
        <x:v>Two-day low-volume full-body plan for RFL blocks; preserve strength rather than chase fatigue.</x:v>
      </x:c>
      <x:c r="E34" s="16" t="str">
        <x:v>rfl-full-body-a</x:v>
      </x:c>
      <x:c r="F34" s="16" t="str">
        <x:v>RFL Full Body A</x:v>
      </x:c>
      <x:c r="G34" s="16" t="str">
        <x:v>Monday</x:v>
      </x:c>
      <x:c r="H34" s="16" t="n">
        <x:v>1</x:v>
      </x:c>
      <x:c r="I34" s="16" t="str"/>
      <x:c r="J34" s="16" t="str">
        <x:v>rfl2-rfl-full-body-a-6</x:v>
      </x:c>
      <x:c r="K34" s="16" t="str">
        <x:v>EX041</x:v>
      </x:c>
      <x:c r="L34" s="16" t="str">
        <x:v>Cable curl</x:v>
      </x:c>
      <x:c r="M34" s="16" t="n">
        <x:v>6</x:v>
      </x:c>
      <x:c r="N34" s="16" t="n">
        <x:v>1</x:v>
      </x:c>
      <x:c r="O34" s="16" t="str">
        <x:v>10-15</x:v>
      </x:c>
      <x:c r="P34" s="16" t="str">
        <x:v>2-3</x:v>
      </x:c>
      <x:c r="Q34" s="16" t="n">
        <x:v>90</x:v>
      </x:c>
      <x:c r="R34" s="16" t="str"/>
      <x:c r="S34" s="42" t="b">
        <x:v>1</x:v>
      </x:c>
      <x:c r="T34" s="16" t="n">
        <x:v>46222.416666666664</x:v>
      </x:c>
    </x:row>
    <x:row r="35">
      <x:c r="A35" s="16" t="str">
        <x:v>RFL2</x:v>
      </x:c>
      <x:c r="B35" s="16" t="str">
        <x:v>RFL 2-day Full Body</x:v>
      </x:c>
      <x:c r="C35" s="16" t="str">
        <x:v>RFL / PSMF</x:v>
      </x:c>
      <x:c r="D35" s="16" t="str">
        <x:v>Two-day low-volume full-body plan for RFL blocks; preserve strength rather than chase fatigue.</x:v>
      </x:c>
      <x:c r="E35" s="16" t="str">
        <x:v>rfl-full-body-a</x:v>
      </x:c>
      <x:c r="F35" s="16" t="str">
        <x:v>RFL Full Body A</x:v>
      </x:c>
      <x:c r="G35" s="16" t="str">
        <x:v>Monday</x:v>
      </x:c>
      <x:c r="H35" s="16" t="n">
        <x:v>1</x:v>
      </x:c>
      <x:c r="I35" s="16" t="str"/>
      <x:c r="J35" s="16" t="str">
        <x:v>rfl2-rfl-full-body-a-7</x:v>
      </x:c>
      <x:c r="K35" s="16" t="str">
        <x:v>EX038</x:v>
      </x:c>
      <x:c r="L35" s="16" t="str">
        <x:v>Cable triceps pushdown</x:v>
      </x:c>
      <x:c r="M35" s="16" t="n">
        <x:v>7</x:v>
      </x:c>
      <x:c r="N35" s="16" t="n">
        <x:v>1</x:v>
      </x:c>
      <x:c r="O35" s="16" t="str">
        <x:v>10-15</x:v>
      </x:c>
      <x:c r="P35" s="16" t="str">
        <x:v>2-3</x:v>
      </x:c>
      <x:c r="Q35" s="16" t="n">
        <x:v>90</x:v>
      </x:c>
      <x:c r="R35" s="16" t="str"/>
      <x:c r="S35" s="42" t="b">
        <x:v>1</x:v>
      </x:c>
      <x:c r="T35" s="16" t="n">
        <x:v>46222.416666666664</x:v>
      </x:c>
    </x:row>
    <x:row r="36">
      <x:c r="A36" s="16" t="str">
        <x:v>RFL2</x:v>
      </x:c>
      <x:c r="B36" s="16" t="str">
        <x:v>RFL 2-day Full Body</x:v>
      </x:c>
      <x:c r="C36" s="16" t="str">
        <x:v>RFL / PSMF</x:v>
      </x:c>
      <x:c r="D36" s="16" t="str">
        <x:v>Two-day low-volume full-body plan for RFL blocks; preserve strength rather than chase fatigue.</x:v>
      </x:c>
      <x:c r="E36" s="16" t="str">
        <x:v>rfl-full-body-b</x:v>
      </x:c>
      <x:c r="F36" s="16" t="str">
        <x:v>RFL Full Body B</x:v>
      </x:c>
      <x:c r="G36" s="16" t="str">
        <x:v>Thursday</x:v>
      </x:c>
      <x:c r="H36" s="16" t="n">
        <x:v>2</x:v>
      </x:c>
      <x:c r="I36" s="16" t="str"/>
      <x:c r="J36" s="16" t="str">
        <x:v>rfl2-rfl-full-body-b-1</x:v>
      </x:c>
      <x:c r="K36" s="16" t="str"/>
      <x:c r="L36" s="16" t="str">
        <x:v>Front squat or Bulgarian split squat</x:v>
      </x:c>
      <x:c r="M36" s="16" t="n">
        <x:v>1</x:v>
      </x:c>
      <x:c r="N36" s="16" t="n">
        <x:v>2</x:v>
      </x:c>
      <x:c r="O36" s="16" t="str">
        <x:v>6-10</x:v>
      </x:c>
      <x:c r="P36" s="16" t="str">
        <x:v>2-3</x:v>
      </x:c>
      <x:c r="Q36" s="16" t="n">
        <x:v>90</x:v>
      </x:c>
      <x:c r="R36" s="16" t="str"/>
      <x:c r="S36" s="42" t="b">
        <x:v>1</x:v>
      </x:c>
      <x:c r="T36" s="16" t="n">
        <x:v>46222.416666666664</x:v>
      </x:c>
    </x:row>
    <x:row r="37">
      <x:c r="A37" s="16" t="str">
        <x:v>RFL2</x:v>
      </x:c>
      <x:c r="B37" s="16" t="str">
        <x:v>RFL 2-day Full Body</x:v>
      </x:c>
      <x:c r="C37" s="16" t="str">
        <x:v>RFL / PSMF</x:v>
      </x:c>
      <x:c r="D37" s="16" t="str">
        <x:v>Two-day low-volume full-body plan for RFL blocks; preserve strength rather than chase fatigue.</x:v>
      </x:c>
      <x:c r="E37" s="16" t="str">
        <x:v>rfl-full-body-b</x:v>
      </x:c>
      <x:c r="F37" s="16" t="str">
        <x:v>RFL Full Body B</x:v>
      </x:c>
      <x:c r="G37" s="16" t="str">
        <x:v>Thursday</x:v>
      </x:c>
      <x:c r="H37" s="16" t="n">
        <x:v>2</x:v>
      </x:c>
      <x:c r="I37" s="16" t="str"/>
      <x:c r="J37" s="16" t="str">
        <x:v>rfl2-rfl-full-body-b-2</x:v>
      </x:c>
      <x:c r="K37" s="16" t="str">
        <x:v>EX022</x:v>
      </x:c>
      <x:c r="L37" s="16" t="str">
        <x:v>Incline dumbbell or seated dumbbell press</x:v>
      </x:c>
      <x:c r="M37" s="16" t="n">
        <x:v>2</x:v>
      </x:c>
      <x:c r="N37" s="16" t="n">
        <x:v>2</x:v>
      </x:c>
      <x:c r="O37" s="16" t="str">
        <x:v>6-10</x:v>
      </x:c>
      <x:c r="P37" s="16" t="str">
        <x:v>2-3</x:v>
      </x:c>
      <x:c r="Q37" s="16" t="n">
        <x:v>90</x:v>
      </x:c>
      <x:c r="R37" s="16" t="str"/>
      <x:c r="S37" s="42" t="b">
        <x:v>1</x:v>
      </x:c>
      <x:c r="T37" s="16" t="n">
        <x:v>46222.416666666664</x:v>
      </x:c>
    </x:row>
    <x:row r="38">
      <x:c r="A38" s="16" t="str">
        <x:v>RFL2</x:v>
      </x:c>
      <x:c r="B38" s="16" t="str">
        <x:v>RFL 2-day Full Body</x:v>
      </x:c>
      <x:c r="C38" s="16" t="str">
        <x:v>RFL / PSMF</x:v>
      </x:c>
      <x:c r="D38" s="16" t="str">
        <x:v>Two-day low-volume full-body plan for RFL blocks; preserve strength rather than chase fatigue.</x:v>
      </x:c>
      <x:c r="E38" s="16" t="str">
        <x:v>rfl-full-body-b</x:v>
      </x:c>
      <x:c r="F38" s="16" t="str">
        <x:v>RFL Full Body B</x:v>
      </x:c>
      <x:c r="G38" s="16" t="str">
        <x:v>Thursday</x:v>
      </x:c>
      <x:c r="H38" s="16" t="n">
        <x:v>2</x:v>
      </x:c>
      <x:c r="I38" s="16" t="str"/>
      <x:c r="J38" s="16" t="str">
        <x:v>rfl2-rfl-full-body-b-3</x:v>
      </x:c>
      <x:c r="K38" s="16" t="str"/>
      <x:c r="L38" s="16" t="str">
        <x:v>Pulldown or chin-up</x:v>
      </x:c>
      <x:c r="M38" s="16" t="n">
        <x:v>3</x:v>
      </x:c>
      <x:c r="N38" s="16" t="n">
        <x:v>2</x:v>
      </x:c>
      <x:c r="O38" s="16" t="str">
        <x:v>6-10</x:v>
      </x:c>
      <x:c r="P38" s="16" t="str">
        <x:v>2-3</x:v>
      </x:c>
      <x:c r="Q38" s="16" t="n">
        <x:v>90</x:v>
      </x:c>
      <x:c r="R38" s="16" t="str"/>
      <x:c r="S38" s="42" t="b">
        <x:v>1</x:v>
      </x:c>
      <x:c r="T38" s="16" t="n">
        <x:v>46222.416666666664</x:v>
      </x:c>
    </x:row>
    <x:row r="39">
      <x:c r="A39" s="16" t="str">
        <x:v>RFL2</x:v>
      </x:c>
      <x:c r="B39" s="16" t="str">
        <x:v>RFL 2-day Full Body</x:v>
      </x:c>
      <x:c r="C39" s="16" t="str">
        <x:v>RFL / PSMF</x:v>
      </x:c>
      <x:c r="D39" s="16" t="str">
        <x:v>Two-day low-volume full-body plan for RFL blocks; preserve strength rather than chase fatigue.</x:v>
      </x:c>
      <x:c r="E39" s="16" t="str">
        <x:v>rfl-full-body-b</x:v>
      </x:c>
      <x:c r="F39" s="16" t="str">
        <x:v>RFL Full Body B</x:v>
      </x:c>
      <x:c r="G39" s="16" t="str">
        <x:v>Thursday</x:v>
      </x:c>
      <x:c r="H39" s="16" t="n">
        <x:v>2</x:v>
      </x:c>
      <x:c r="I39" s="16" t="str"/>
      <x:c r="J39" s="16" t="str">
        <x:v>rfl2-rfl-full-body-b-4</x:v>
      </x:c>
      <x:c r="K39" s="16" t="str"/>
      <x:c r="L39" s="16" t="str">
        <x:v>Hip thrust or cable leg curl</x:v>
      </x:c>
      <x:c r="M39" s="16" t="n">
        <x:v>4</x:v>
      </x:c>
      <x:c r="N39" s="16" t="n">
        <x:v>2</x:v>
      </x:c>
      <x:c r="O39" s="16" t="str">
        <x:v>8-12</x:v>
      </x:c>
      <x:c r="P39" s="16" t="str">
        <x:v>2-3</x:v>
      </x:c>
      <x:c r="Q39" s="16" t="n">
        <x:v>90</x:v>
      </x:c>
      <x:c r="R39" s="16" t="str"/>
      <x:c r="S39" s="42" t="b">
        <x:v>1</x:v>
      </x:c>
      <x:c r="T39" s="16" t="n">
        <x:v>46222.416666666664</x:v>
      </x:c>
    </x:row>
    <x:row r="40">
      <x:c r="A40" s="16" t="str">
        <x:v>RFL2</x:v>
      </x:c>
      <x:c r="B40" s="16" t="str">
        <x:v>RFL 2-day Full Body</x:v>
      </x:c>
      <x:c r="C40" s="16" t="str">
        <x:v>RFL / PSMF</x:v>
      </x:c>
      <x:c r="D40" s="16" t="str">
        <x:v>Two-day low-volume full-body plan for RFL blocks; preserve strength rather than chase fatigue.</x:v>
      </x:c>
      <x:c r="E40" s="16" t="str">
        <x:v>rfl-full-body-b</x:v>
      </x:c>
      <x:c r="F40" s="16" t="str">
        <x:v>RFL Full Body B</x:v>
      </x:c>
      <x:c r="G40" s="16" t="str">
        <x:v>Thursday</x:v>
      </x:c>
      <x:c r="H40" s="16" t="n">
        <x:v>2</x:v>
      </x:c>
      <x:c r="I40" s="16" t="str"/>
      <x:c r="J40" s="16" t="str">
        <x:v>rfl2-rfl-full-body-b-5</x:v>
      </x:c>
      <x:c r="K40" s="16" t="str">
        <x:v>EX037</x:v>
      </x:c>
      <x:c r="L40" s="16" t="str">
        <x:v>Rear-delt cable fly</x:v>
      </x:c>
      <x:c r="M40" s="16" t="n">
        <x:v>5</x:v>
      </x:c>
      <x:c r="N40" s="16" t="n">
        <x:v>1</x:v>
      </x:c>
      <x:c r="O40" s="16" t="str">
        <x:v>12-20</x:v>
      </x:c>
      <x:c r="P40" s="16" t="str">
        <x:v>2-3</x:v>
      </x:c>
      <x:c r="Q40" s="16" t="n">
        <x:v>90</x:v>
      </x:c>
      <x:c r="R40" s="16" t="str"/>
      <x:c r="S40" s="42" t="b">
        <x:v>1</x:v>
      </x:c>
      <x:c r="T40" s="16" t="n">
        <x:v>46222.416666666664</x:v>
      </x:c>
    </x:row>
    <x:row r="41">
      <x:c r="A41" s="16" t="str">
        <x:v>RFL2</x:v>
      </x:c>
      <x:c r="B41" s="16" t="str">
        <x:v>RFL 2-day Full Body</x:v>
      </x:c>
      <x:c r="C41" s="16" t="str">
        <x:v>RFL / PSMF</x:v>
      </x:c>
      <x:c r="D41" s="16" t="str">
        <x:v>Two-day low-volume full-body plan for RFL blocks; preserve strength rather than chase fatigue.</x:v>
      </x:c>
      <x:c r="E41" s="16" t="str">
        <x:v>rfl-full-body-b</x:v>
      </x:c>
      <x:c r="F41" s="16" t="str">
        <x:v>RFL Full Body B</x:v>
      </x:c>
      <x:c r="G41" s="16" t="str">
        <x:v>Thursday</x:v>
      </x:c>
      <x:c r="H41" s="16" t="n">
        <x:v>2</x:v>
      </x:c>
      <x:c r="I41" s="16" t="str"/>
      <x:c r="J41" s="16" t="str">
        <x:v>rfl2-rfl-full-body-b-6</x:v>
      </x:c>
      <x:c r="K41" s="16" t="str"/>
      <x:c r="L41" s="16" t="str">
        <x:v>Hammer curl</x:v>
      </x:c>
      <x:c r="M41" s="16" t="n">
        <x:v>6</x:v>
      </x:c>
      <x:c r="N41" s="16" t="n">
        <x:v>1</x:v>
      </x:c>
      <x:c r="O41" s="16" t="str">
        <x:v>10-15</x:v>
      </x:c>
      <x:c r="P41" s="16" t="str">
        <x:v>2-3</x:v>
      </x:c>
      <x:c r="Q41" s="16" t="n">
        <x:v>90</x:v>
      </x:c>
      <x:c r="R41" s="16" t="str"/>
      <x:c r="S41" s="42" t="b">
        <x:v>1</x:v>
      </x:c>
      <x:c r="T41" s="16" t="n">
        <x:v>46222.416666666664</x:v>
      </x:c>
    </x:row>
    <x:row r="42">
      <x:c r="A42" s="16" t="str">
        <x:v>RFL2</x:v>
      </x:c>
      <x:c r="B42" s="16" t="str">
        <x:v>RFL 2-day Full Body</x:v>
      </x:c>
      <x:c r="C42" s="16" t="str">
        <x:v>RFL / PSMF</x:v>
      </x:c>
      <x:c r="D42" s="16" t="str">
        <x:v>Two-day low-volume full-body plan for RFL blocks; preserve strength rather than chase fatigue.</x:v>
      </x:c>
      <x:c r="E42" s="16" t="str">
        <x:v>rfl-full-body-b</x:v>
      </x:c>
      <x:c r="F42" s="16" t="str">
        <x:v>RFL Full Body B</x:v>
      </x:c>
      <x:c r="G42" s="16" t="str">
        <x:v>Thursday</x:v>
      </x:c>
      <x:c r="H42" s="16" t="n">
        <x:v>2</x:v>
      </x:c>
      <x:c r="I42" s="16" t="str"/>
      <x:c r="J42" s="16" t="str">
        <x:v>rfl2-rfl-full-body-b-7</x:v>
      </x:c>
      <x:c r="K42" s="16" t="str"/>
      <x:c r="L42" s="16" t="str">
        <x:v>Overhead triceps extension</x:v>
      </x:c>
      <x:c r="M42" s="16" t="n">
        <x:v>7</x:v>
      </x:c>
      <x:c r="N42" s="16" t="n">
        <x:v>1</x:v>
      </x:c>
      <x:c r="O42" s="16" t="str">
        <x:v>10-15</x:v>
      </x:c>
      <x:c r="P42" s="16" t="str">
        <x:v>2-3</x:v>
      </x:c>
      <x:c r="Q42" s="16" t="n">
        <x:v>90</x:v>
      </x:c>
      <x:c r="R42" s="16" t="str"/>
      <x:c r="S42" s="42" t="b">
        <x:v>1</x:v>
      </x:c>
      <x:c r="T42" s="16" t="n">
        <x:v>46222.416666666664</x:v>
      </x:c>
    </x:row>
    <x:row r="43">
      <x:c r="A43" s="16" t="str">
        <x:v>GVS_EXTRA</x:v>
      </x:c>
      <x:c r="B43" s="16" t="str">
        <x:v>Optional GVS-style Delts/Arms</x:v>
      </x:c>
      <x:c r="C43" s="16" t="str">
        <x:v>Optional only outside RFL</x:v>
      </x:c>
      <x:c r="D43" s="16" t="str">
        <x:v>Optional short delt/arm/calves session only when recovered and outside RFL.</x:v>
      </x:c>
      <x:c r="E43" s="16" t="str">
        <x:v>delts-arms</x:v>
      </x:c>
      <x:c r="F43" s="16" t="str">
        <x:v>Delts/Arms</x:v>
      </x:c>
      <x:c r="G43" s="16" t="str">
        <x:v>Saturday</x:v>
      </x:c>
      <x:c r="H43" s="16" t="n">
        <x:v>1</x:v>
      </x:c>
      <x:c r="I43" s="16" t="str"/>
      <x:c r="J43" s="16" t="str">
        <x:v>gvs_extra-delts-arms-1</x:v>
      </x:c>
      <x:c r="K43" s="16" t="str">
        <x:v>EX033</x:v>
      </x:c>
      <x:c r="L43" s="16" t="str">
        <x:v>Cable lateral raise</x:v>
      </x:c>
      <x:c r="M43" s="16" t="n">
        <x:v>1</x:v>
      </x:c>
      <x:c r="N43" s="16" t="n">
        <x:v>3</x:v>
      </x:c>
      <x:c r="O43" s="16" t="str">
        <x:v>15-25</x:v>
      </x:c>
      <x:c r="P43" s="16" t="str">
        <x:v>0-1 on final safe set</x:v>
      </x:c>
      <x:c r="Q43" s="16" t="n">
        <x:v>90</x:v>
      </x:c>
      <x:c r="R43" s="16" t="str">
        <x:v>Only if recovered; skip during RFL.</x:v>
      </x:c>
      <x:c r="S43" s="42" t="b">
        <x:v>1</x:v>
      </x:c>
      <x:c r="T43" s="16" t="n">
        <x:v>46222.416666666664</x:v>
      </x:c>
    </x:row>
    <x:row r="44">
      <x:c r="A44" s="16" t="str">
        <x:v>GVS_EXTRA</x:v>
      </x:c>
      <x:c r="B44" s="16" t="str">
        <x:v>Optional GVS-style Delts/Arms</x:v>
      </x:c>
      <x:c r="C44" s="16" t="str">
        <x:v>Optional only outside RFL</x:v>
      </x:c>
      <x:c r="D44" s="16" t="str">
        <x:v>Optional short delt/arm/calves session only when recovered and outside RFL.</x:v>
      </x:c>
      <x:c r="E44" s="16" t="str">
        <x:v>delts-arms</x:v>
      </x:c>
      <x:c r="F44" s="16" t="str">
        <x:v>Delts/Arms</x:v>
      </x:c>
      <x:c r="G44" s="16" t="str">
        <x:v>Saturday</x:v>
      </x:c>
      <x:c r="H44" s="16" t="n">
        <x:v>1</x:v>
      </x:c>
      <x:c r="I44" s="16" t="str"/>
      <x:c r="J44" s="16" t="str">
        <x:v>gvs_extra-delts-arms-2</x:v>
      </x:c>
      <x:c r="K44" s="16" t="str">
        <x:v>EX035</x:v>
      </x:c>
      <x:c r="L44" s="16" t="str">
        <x:v>Cable rear-delt fly</x:v>
      </x:c>
      <x:c r="M44" s="16" t="n">
        <x:v>2</x:v>
      </x:c>
      <x:c r="N44" s="16" t="n">
        <x:v>3</x:v>
      </x:c>
      <x:c r="O44" s="16" t="str">
        <x:v>15-25</x:v>
      </x:c>
      <x:c r="P44" s="16" t="str">
        <x:v>0-1 on final safe set</x:v>
      </x:c>
      <x:c r="Q44" s="16" t="n">
        <x:v>90</x:v>
      </x:c>
      <x:c r="R44" s="16" t="str"/>
      <x:c r="S44" s="42" t="b">
        <x:v>1</x:v>
      </x:c>
      <x:c r="T44" s="16" t="n">
        <x:v>46222.416666666664</x:v>
      </x:c>
    </x:row>
    <x:row r="45">
      <x:c r="A45" s="16" t="str">
        <x:v>GVS_EXTRA</x:v>
      </x:c>
      <x:c r="B45" s="16" t="str">
        <x:v>Optional GVS-style Delts/Arms</x:v>
      </x:c>
      <x:c r="C45" s="16" t="str">
        <x:v>Optional only outside RFL</x:v>
      </x:c>
      <x:c r="D45" s="16" t="str">
        <x:v>Optional short delt/arm/calves session only when recovered and outside RFL.</x:v>
      </x:c>
      <x:c r="E45" s="16" t="str">
        <x:v>delts-arms</x:v>
      </x:c>
      <x:c r="F45" s="16" t="str">
        <x:v>Delts/Arms</x:v>
      </x:c>
      <x:c r="G45" s="16" t="str">
        <x:v>Saturday</x:v>
      </x:c>
      <x:c r="H45" s="16" t="n">
        <x:v>1</x:v>
      </x:c>
      <x:c r="I45" s="16" t="str"/>
      <x:c r="J45" s="16" t="str">
        <x:v>gvs_extra-delts-arms-3</x:v>
      </x:c>
      <x:c r="K45" s="16" t="str">
        <x:v>EX045</x:v>
      </x:c>
      <x:c r="L45" s="16" t="str">
        <x:v>Cable or ring curl</x:v>
      </x:c>
      <x:c r="M45" s="16" t="n">
        <x:v>3</x:v>
      </x:c>
      <x:c r="N45" s="16" t="n">
        <x:v>2</x:v>
      </x:c>
      <x:c r="O45" s="16" t="str">
        <x:v>10-15</x:v>
      </x:c>
      <x:c r="P45" s="16" t="str">
        <x:v>1</x:v>
      </x:c>
      <x:c r="Q45" s="16" t="n">
        <x:v>90</x:v>
      </x:c>
      <x:c r="R45" s="16" t="str"/>
      <x:c r="S45" s="42" t="b">
        <x:v>1</x:v>
      </x:c>
      <x:c r="T45" s="16" t="n">
        <x:v>46222.416666666664</x:v>
      </x:c>
    </x:row>
    <x:row r="46">
      <x:c r="A46" s="16" t="str">
        <x:v>GVS_EXTRA</x:v>
      </x:c>
      <x:c r="B46" s="16" t="str">
        <x:v>Optional GVS-style Delts/Arms</x:v>
      </x:c>
      <x:c r="C46" s="16" t="str">
        <x:v>Optional only outside RFL</x:v>
      </x:c>
      <x:c r="D46" s="16" t="str">
        <x:v>Optional short delt/arm/calves session only when recovered and outside RFL.</x:v>
      </x:c>
      <x:c r="E46" s="16" t="str">
        <x:v>delts-arms</x:v>
      </x:c>
      <x:c r="F46" s="16" t="str">
        <x:v>Delts/Arms</x:v>
      </x:c>
      <x:c r="G46" s="16" t="str">
        <x:v>Saturday</x:v>
      </x:c>
      <x:c r="H46" s="16" t="n">
        <x:v>1</x:v>
      </x:c>
      <x:c r="I46" s="16" t="str"/>
      <x:c r="J46" s="16" t="str">
        <x:v>gvs_extra-delts-arms-4</x:v>
      </x:c>
      <x:c r="K46" s="16" t="str">
        <x:v>EX039</x:v>
      </x:c>
      <x:c r="L46" s="16" t="str">
        <x:v>Overhead cable triceps extension</x:v>
      </x:c>
      <x:c r="M46" s="16" t="n">
        <x:v>4</x:v>
      </x:c>
      <x:c r="N46" s="16" t="n">
        <x:v>2</x:v>
      </x:c>
      <x:c r="O46" s="16" t="str">
        <x:v>10-15</x:v>
      </x:c>
      <x:c r="P46" s="16" t="str">
        <x:v>1</x:v>
      </x:c>
      <x:c r="Q46" s="16" t="n">
        <x:v>90</x:v>
      </x:c>
      <x:c r="R46" s="16" t="str"/>
      <x:c r="S46" s="42" t="b">
        <x:v>1</x:v>
      </x:c>
      <x:c r="T46" s="16" t="n">
        <x:v>46222.416666666664</x:v>
      </x:c>
    </x:row>
    <x:row r="47">
      <x:c r="A47" s="16" t="str">
        <x:v>GVS_EXTRA</x:v>
      </x:c>
      <x:c r="B47" s="16" t="str">
        <x:v>Optional GVS-style Delts/Arms</x:v>
      </x:c>
      <x:c r="C47" s="16" t="str">
        <x:v>Optional only outside RFL</x:v>
      </x:c>
      <x:c r="D47" s="16" t="str">
        <x:v>Optional short delt/arm/calves session only when recovered and outside RFL.</x:v>
      </x:c>
      <x:c r="E47" s="16" t="str">
        <x:v>delts-arms</x:v>
      </x:c>
      <x:c r="F47" s="16" t="str">
        <x:v>Delts/Arms</x:v>
      </x:c>
      <x:c r="G47" s="16" t="str">
        <x:v>Saturday</x:v>
      </x:c>
      <x:c r="H47" s="16" t="n">
        <x:v>1</x:v>
      </x:c>
      <x:c r="I47" s="16" t="str"/>
      <x:c r="J47" s="16" t="str">
        <x:v>gvs_extra-delts-arms-5</x:v>
      </x:c>
      <x:c r="K47" s="16" t="str">
        <x:v>EX013</x:v>
      </x:c>
      <x:c r="L47" s="16" t="str">
        <x:v>Standing calf raise</x:v>
      </x:c>
      <x:c r="M47" s="16" t="n">
        <x:v>5</x:v>
      </x:c>
      <x:c r="N47" s="16" t="n">
        <x:v>3</x:v>
      </x:c>
      <x:c r="O47" s="16" t="str">
        <x:v>12-20</x:v>
      </x:c>
      <x:c r="P47" s="16" t="str">
        <x:v>1</x:v>
      </x:c>
      <x:c r="Q47" s="16" t="n">
        <x:v>90</x:v>
      </x:c>
      <x:c r="R47" s="16" t="str"/>
      <x:c r="S47" s="42" t="b">
        <x:v>1</x:v>
      </x:c>
      <x:c r="T47" s="16" t="n">
        <x:v>46222.416666666664</x:v>
      </x:c>
    </x:row>
  </x:sheetData>
  <x:dataValidations count="1">
    <x:dataValidation type="list" sqref="S2:S10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9.380000114440918" hidden="0" customWidth="1"/>
    <x:col min="7" max="7" width="15.25" hidden="0" customWidth="1"/>
    <x:col min="8" max="8" width="24" hidden="0" customWidth="1"/>
    <x:col min="9" max="9" width="18.8799991607666" hidden="0" customWidth="1"/>
    <x:col min="10" max="10" width="7.630000114440918" hidden="0" customWidth="1"/>
    <x:col min="11" max="11" width="10.25" hidden="0" customWidth="1"/>
    <x:col min="17" max="17" width="24" hidden="0" customWidth="1"/>
    <x:col min="18" max="18" width="24" hidden="0" customWidth="1"/>
  </x:cols>
  <x:sheetData>
    <x:row r="1" ht="30" customHeight="1">
      <x:c r="A1" s="22" t="str">
        <x:v>ExerciseID</x:v>
      </x:c>
      <x:c r="B1" s="22" t="str">
        <x:v>Exercise</x:v>
      </x:c>
      <x:c r="C1" s="22" t="str">
        <x:v>MuscleGroup</x:v>
      </x:c>
      <x:c r="D1" s="22" t="str">
        <x:v>Pattern</x:v>
      </x:c>
      <x:c r="E1" s="22" t="str">
        <x:v>Equipment</x:v>
      </x:c>
      <x:c r="F1" s="22" t="str">
        <x:v>PrimaryFor</x:v>
      </x:c>
      <x:c r="G1" s="22" t="str">
        <x:v>Difficulty</x:v>
      </x:c>
      <x:c r="H1" s="22" t="str">
        <x:v>SubstitutionNotes</x:v>
      </x:c>
      <x:c r="I1" s="22" t="str">
        <x:v>RFL_OK</x:v>
      </x:c>
      <x:c r="J1" s="22" t="str">
        <x:v>Favourite</x:v>
      </x:c>
      <x:c r="K1" s="22" t="str">
        <x:v>UpdatedAt</x:v>
      </x:c>
    </x:row>
    <x:row r="2">
      <x:c r="A2" s="16" t="str">
        <x:v>EX001</x:v>
      </x:c>
      <x:c r="B2" s="16" t="str">
        <x:v>High-bar back squat</x:v>
      </x:c>
      <x:c r="C2" s="16" t="str">
        <x:v>Quads / Glutes</x:v>
      </x:c>
      <x:c r="D2" s="16" t="str">
        <x:v>Squat</x:v>
      </x:c>
      <x:c r="E2" s="16" t="str">
        <x:v>Power rack + barbell</x:v>
      </x:c>
      <x:c r="F2" s="16" t="str">
        <x:v>Squat</x:v>
      </x:c>
      <x:c r="G2" s="16" t="str">
        <x:v>Main lift</x:v>
      </x:c>
      <x:c r="H2" s="16" t="str">
        <x:v>Use if bracing and depth remain controlled.</x:v>
      </x:c>
      <x:c r="I2" s="16" t="str">
        <x:v>Yes</x:v>
      </x:c>
      <x:c r="J2" s="42" t="b">
        <x:v>0</x:v>
      </x:c>
      <x:c r="K2" s="16" t="n">
        <x:v>46222.416666666664</x:v>
      </x:c>
    </x:row>
    <x:row r="3">
      <x:c r="A3" s="16" t="str">
        <x:v>EX002</x:v>
      </x:c>
      <x:c r="B3" s="16" t="str">
        <x:v>Front squat</x:v>
      </x:c>
      <x:c r="C3" s="16" t="str">
        <x:v>Quads / Core</x:v>
      </x:c>
      <x:c r="D3" s="16" t="str">
        <x:v>Squat</x:v>
      </x:c>
      <x:c r="E3" s="16" t="str">
        <x:v>Power rack + barbell</x:v>
      </x:c>
      <x:c r="F3" s="16" t="str">
        <x:v>Squat</x:v>
      </x:c>
      <x:c r="G3" s="16" t="str">
        <x:v>Main lift</x:v>
      </x:c>
      <x:c r="H3" s="16" t="str">
        <x:v>Useful if it is more back-friendly than back squat.</x:v>
      </x:c>
      <x:c r="I3" s="16" t="str">
        <x:v>Yes</x:v>
      </x:c>
      <x:c r="J3" s="42" t="b">
        <x:v>0</x:v>
      </x:c>
      <x:c r="K3" s="16" t="n">
        <x:v>46222.416666666664</x:v>
      </x:c>
    </x:row>
    <x:row r="4">
      <x:c r="A4" s="16" t="str">
        <x:v>EX003</x:v>
      </x:c>
      <x:c r="B4" s="16" t="str">
        <x:v>Heels-elevated squat</x:v>
      </x:c>
      <x:c r="C4" s="16" t="str">
        <x:v>Quads</x:v>
      </x:c>
      <x:c r="D4" s="16" t="str">
        <x:v>Squat</x:v>
      </x:c>
      <x:c r="E4" s="16" t="str">
        <x:v>Barbell or dumbbells</x:v>
      </x:c>
      <x:c r="F4" s="16" t="str">
        <x:v>Squat</x:v>
      </x:c>
      <x:c r="G4" s="16" t="str">
        <x:v>Main lift</x:v>
      </x:c>
      <x:c r="H4" s="16" t="str">
        <x:v>More quad bias; use a small wedge or plates under heels.</x:v>
      </x:c>
      <x:c r="I4" s="16" t="str">
        <x:v>Yes</x:v>
      </x:c>
      <x:c r="J4" s="42" t="b">
        <x:v>0</x:v>
      </x:c>
      <x:c r="K4" s="16" t="n">
        <x:v>46222.416666666664</x:v>
      </x:c>
    </x:row>
    <x:row r="5">
      <x:c r="A5" s="16" t="str">
        <x:v>EX004</x:v>
      </x:c>
      <x:c r="B5" s="16" t="str">
        <x:v>Box squat</x:v>
      </x:c>
      <x:c r="C5" s="16" t="str">
        <x:v>Quads / Glutes</x:v>
      </x:c>
      <x:c r="D5" s="16" t="str">
        <x:v>Squat</x:v>
      </x:c>
      <x:c r="E5" s="16" t="str">
        <x:v>Power rack + box</x:v>
      </x:c>
      <x:c r="F5" s="16" t="str">
        <x:v>Squat</x:v>
      </x:c>
      <x:c r="G5" s="16" t="str">
        <x:v>Substitution</x:v>
      </x:c>
      <x:c r="H5" s="16" t="str">
        <x:v>Useful for controlled depth.</x:v>
      </x:c>
      <x:c r="I5" s="16" t="str">
        <x:v>Yes</x:v>
      </x:c>
      <x:c r="J5" s="42" t="b">
        <x:v>0</x:v>
      </x:c>
      <x:c r="K5" s="16" t="n">
        <x:v>46222.416666666664</x:v>
      </x:c>
    </x:row>
    <x:row r="6">
      <x:c r="A6" s="16" t="str">
        <x:v>EX005</x:v>
      </x:c>
      <x:c r="B6" s="16" t="str">
        <x:v>Goblet squat</x:v>
      </x:c>
      <x:c r="C6" s="16" t="str">
        <x:v>Quads / Glutes</x:v>
      </x:c>
      <x:c r="D6" s="16" t="str">
        <x:v>Squat</x:v>
      </x:c>
      <x:c r="E6" s="16" t="str">
        <x:v>Dumbbell</x:v>
      </x:c>
      <x:c r="F6" s="16" t="str">
        <x:v>Squat</x:v>
      </x:c>
      <x:c r="G6" s="16" t="str">
        <x:v>Substitution</x:v>
      </x:c>
      <x:c r="H6" s="16" t="str">
        <x:v>Good warm-up or deload option.</x:v>
      </x:c>
      <x:c r="I6" s="16" t="str">
        <x:v>Yes</x:v>
      </x:c>
      <x:c r="J6" s="42" t="b">
        <x:v>0</x:v>
      </x:c>
      <x:c r="K6" s="16" t="n">
        <x:v>46222.416666666664</x:v>
      </x:c>
    </x:row>
    <x:row r="7">
      <x:c r="A7" s="16" t="str">
        <x:v>EX006</x:v>
      </x:c>
      <x:c r="B7" s="16" t="str">
        <x:v>Bulgarian split squat</x:v>
      </x:c>
      <x:c r="C7" s="16" t="str">
        <x:v>Quads / Glutes</x:v>
      </x:c>
      <x:c r="D7" s="16" t="str">
        <x:v>Single-leg</x:v>
      </x:c>
      <x:c r="E7" s="16" t="str">
        <x:v>Dumbbells</x:v>
      </x:c>
      <x:c r="F7" s="16" t="str">
        <x:v>Squat</x:v>
      </x:c>
      <x:c r="G7" s="16" t="str">
        <x:v>Accessory</x:v>
      </x:c>
      <x:c r="H7" s="16" t="str">
        <x:v>High stimulus with lower spinal loading.</x:v>
      </x:c>
      <x:c r="I7" s="16" t="str">
        <x:v>Yes</x:v>
      </x:c>
      <x:c r="J7" s="42" t="b">
        <x:v>0</x:v>
      </x:c>
      <x:c r="K7" s="16" t="n">
        <x:v>46222.416666666664</x:v>
      </x:c>
    </x:row>
    <x:row r="8">
      <x:c r="A8" s="16" t="str">
        <x:v>EX007</x:v>
      </x:c>
      <x:c r="B8" s="16" t="str">
        <x:v>Reverse lunge</x:v>
      </x:c>
      <x:c r="C8" s="16" t="str">
        <x:v>Quads / Glutes</x:v>
      </x:c>
      <x:c r="D8" s="16" t="str">
        <x:v>Single-leg</x:v>
      </x:c>
      <x:c r="E8" s="16" t="str">
        <x:v>Dumbbells</x:v>
      </x:c>
      <x:c r="F8" s="16" t="str">
        <x:v>Squat</x:v>
      </x:c>
      <x:c r="G8" s="16" t="str">
        <x:v>Accessory</x:v>
      </x:c>
      <x:c r="H8" s="16" t="str">
        <x:v>Usually knee-friendly if stride is controlled.</x:v>
      </x:c>
      <x:c r="I8" s="16" t="str">
        <x:v>Yes</x:v>
      </x:c>
      <x:c r="J8" s="42" t="b">
        <x:v>0</x:v>
      </x:c>
      <x:c r="K8" s="16" t="n">
        <x:v>46222.416666666664</x:v>
      </x:c>
    </x:row>
    <x:row r="9">
      <x:c r="A9" s="16" t="str">
        <x:v>EX008</x:v>
      </x:c>
      <x:c r="B9" s="16" t="str">
        <x:v>Romanian deadlift</x:v>
      </x:c>
      <x:c r="C9" s="16" t="str">
        <x:v>Hamstrings / Glutes</x:v>
      </x:c>
      <x:c r="D9" s="16" t="str">
        <x:v>Hip hinge</x:v>
      </x:c>
      <x:c r="E9" s="16" t="str">
        <x:v>Barbell or dumbbells</x:v>
      </x:c>
      <x:c r="F9" s="16" t="str">
        <x:v>Hinge</x:v>
      </x:c>
      <x:c r="G9" s="16" t="str">
        <x:v>Main lift</x:v>
      </x:c>
      <x:c r="H9" s="16" t="str">
        <x:v>Only use if lower back is not the limiter.</x:v>
      </x:c>
      <x:c r="I9" s="16" t="str">
        <x:v>Yes</x:v>
      </x:c>
      <x:c r="J9" s="42" t="b">
        <x:v>0</x:v>
      </x:c>
      <x:c r="K9" s="16" t="n">
        <x:v>46222.416666666664</x:v>
      </x:c>
    </x:row>
    <x:row r="10">
      <x:c r="A10" s="16" t="str">
        <x:v>EX009</x:v>
      </x:c>
      <x:c r="B10" s="16" t="str">
        <x:v>Dumbbell Romanian deadlift</x:v>
      </x:c>
      <x:c r="C10" s="16" t="str">
        <x:v>Hamstrings / Glutes</x:v>
      </x:c>
      <x:c r="D10" s="16" t="str">
        <x:v>Hip hinge</x:v>
      </x:c>
      <x:c r="E10" s="16" t="str">
        <x:v>Dumbbells</x:v>
      </x:c>
      <x:c r="F10" s="16" t="str">
        <x:v>Hinge</x:v>
      </x:c>
      <x:c r="G10" s="16" t="str">
        <x:v>Substitution</x:v>
      </x:c>
      <x:c r="H10" s="16" t="str">
        <x:v>Easier to control than barbell for some lifters.</x:v>
      </x:c>
      <x:c r="I10" s="16" t="str">
        <x:v>Yes</x:v>
      </x:c>
      <x:c r="J10" s="42" t="b">
        <x:v>0</x:v>
      </x:c>
      <x:c r="K10" s="16" t="n">
        <x:v>46222.416666666664</x:v>
      </x:c>
    </x:row>
    <x:row r="11">
      <x:c r="A11" s="16" t="str">
        <x:v>EX010</x:v>
      </x:c>
      <x:c r="B11" s="16" t="str">
        <x:v>Barbell hip thrust</x:v>
      </x:c>
      <x:c r="C11" s="16" t="str">
        <x:v>Glutes / Hamstrings</x:v>
      </x:c>
      <x:c r="D11" s="16" t="str">
        <x:v>Hip extension</x:v>
      </x:c>
      <x:c r="E11" s="16" t="str">
        <x:v>Barbell + bench</x:v>
      </x:c>
      <x:c r="F11" s="16" t="str">
        <x:v>Hinge</x:v>
      </x:c>
      <x:c r="G11" s="16" t="str">
        <x:v>Main lift</x:v>
      </x:c>
      <x:c r="H11" s="16" t="str">
        <x:v>Back-friendly hinge replacement.</x:v>
      </x:c>
      <x:c r="I11" s="16" t="str">
        <x:v>Yes</x:v>
      </x:c>
      <x:c r="J11" s="42" t="b">
        <x:v>0</x:v>
      </x:c>
      <x:c r="K11" s="16" t="n">
        <x:v>46222.416666666664</x:v>
      </x:c>
    </x:row>
    <x:row r="12">
      <x:c r="A12" s="16" t="str">
        <x:v>EX011</x:v>
      </x:c>
      <x:c r="B12" s="16" t="str">
        <x:v>Cable pull-through</x:v>
      </x:c>
      <x:c r="C12" s="16" t="str">
        <x:v>Glutes / Hamstrings</x:v>
      </x:c>
      <x:c r="D12" s="16" t="str">
        <x:v>Hip hinge</x:v>
      </x:c>
      <x:c r="E12" s="16" t="str">
        <x:v>Cable</x:v>
      </x:c>
      <x:c r="F12" s="16" t="str">
        <x:v>Hinge</x:v>
      </x:c>
      <x:c r="G12" s="16" t="str">
        <x:v>Substitution</x:v>
      </x:c>
      <x:c r="H12" s="16" t="str">
        <x:v>Good replacement for RDL if back feels taxed.</x:v>
      </x:c>
      <x:c r="I12" s="16" t="str">
        <x:v>Yes</x:v>
      </x:c>
      <x:c r="J12" s="42" t="b">
        <x:v>0</x:v>
      </x:c>
      <x:c r="K12" s="16" t="n">
        <x:v>46222.416666666664</x:v>
      </x:c>
    </x:row>
    <x:row r="13">
      <x:c r="A13" s="16" t="str">
        <x:v>EX012</x:v>
      </x:c>
      <x:c r="B13" s="16" t="str">
        <x:v>Cable leg curl</x:v>
      </x:c>
      <x:c r="C13" s="16" t="str">
        <x:v>Hamstrings</x:v>
      </x:c>
      <x:c r="D13" s="16" t="str">
        <x:v>Knee flexion</x:v>
      </x:c>
      <x:c r="E13" s="16" t="str">
        <x:v>Cable ankle strap</x:v>
      </x:c>
      <x:c r="F13" s="16" t="str">
        <x:v>Hamstrings</x:v>
      </x:c>
      <x:c r="G13" s="16" t="str">
        <x:v>Accessory</x:v>
      </x:c>
      <x:c r="H13" s="16" t="str">
        <x:v>Can use bench/prone setup with ankle strap.</x:v>
      </x:c>
      <x:c r="I13" s="16" t="str">
        <x:v>Yes</x:v>
      </x:c>
      <x:c r="J13" s="42" t="b">
        <x:v>0</x:v>
      </x:c>
      <x:c r="K13" s="16" t="n">
        <x:v>46222.416666666664</x:v>
      </x:c>
    </x:row>
    <x:row r="14">
      <x:c r="A14" s="16" t="str">
        <x:v>EX013</x:v>
      </x:c>
      <x:c r="B14" s="16" t="str">
        <x:v>Standing calf raise</x:v>
      </x:c>
      <x:c r="C14" s="16" t="str">
        <x:v>Calves</x:v>
      </x:c>
      <x:c r="D14" s="16" t="str">
        <x:v>Calf raise</x:v>
      </x:c>
      <x:c r="E14" s="16" t="str">
        <x:v>Barbell or dumbbells</x:v>
      </x:c>
      <x:c r="F14" s="16" t="str">
        <x:v>Calves</x:v>
      </x:c>
      <x:c r="G14" s="16" t="str">
        <x:v>Accessory</x:v>
      </x:c>
      <x:c r="H14" s="16" t="str">
        <x:v>Pause in stretched and contracted positions.</x:v>
      </x:c>
      <x:c r="I14" s="16" t="str">
        <x:v>Yes</x:v>
      </x:c>
      <x:c r="J14" s="42" t="b">
        <x:v>0</x:v>
      </x:c>
      <x:c r="K14" s="16" t="n">
        <x:v>46222.416666666664</x:v>
      </x:c>
    </x:row>
    <x:row r="15">
      <x:c r="A15" s="16" t="str">
        <x:v>EX014</x:v>
      </x:c>
      <x:c r="B15" s="16" t="str">
        <x:v>Barbell bench press</x:v>
      </x:c>
      <x:c r="C15" s="16" t="str">
        <x:v>Chest / Triceps</x:v>
      </x:c>
      <x:c r="D15" s="16" t="str">
        <x:v>Horizontal press</x:v>
      </x:c>
      <x:c r="E15" s="16" t="str">
        <x:v>Power rack + barbell</x:v>
      </x:c>
      <x:c r="F15" s="16" t="str">
        <x:v>Press</x:v>
      </x:c>
      <x:c r="G15" s="16" t="str">
        <x:v>Main lift</x:v>
      </x:c>
      <x:c r="H15" s="16" t="str">
        <x:v>Use safeties in rack.</x:v>
      </x:c>
      <x:c r="I15" s="16" t="str">
        <x:v>Yes</x:v>
      </x:c>
      <x:c r="J15" s="42" t="b">
        <x:v>0</x:v>
      </x:c>
      <x:c r="K15" s="16" t="n">
        <x:v>46222.416666666664</x:v>
      </x:c>
    </x:row>
    <x:row r="16">
      <x:c r="A16" s="16" t="str">
        <x:v>EX015</x:v>
      </x:c>
      <x:c r="B16" s="16" t="str">
        <x:v>Dumbbell bench press</x:v>
      </x:c>
      <x:c r="C16" s="16" t="str">
        <x:v>Chest / Triceps</x:v>
      </x:c>
      <x:c r="D16" s="16" t="str">
        <x:v>Horizontal press</x:v>
      </x:c>
      <x:c r="E16" s="16" t="str">
        <x:v>Dumbbells + bench</x:v>
      </x:c>
      <x:c r="F16" s="16" t="str">
        <x:v>Press</x:v>
      </x:c>
      <x:c r="G16" s="16" t="str">
        <x:v>Substitution</x:v>
      </x:c>
      <x:c r="H16" s="16" t="str">
        <x:v>Good shoulder-friendly press variation.</x:v>
      </x:c>
      <x:c r="I16" s="16" t="str">
        <x:v>Yes</x:v>
      </x:c>
      <x:c r="J16" s="42" t="b">
        <x:v>0</x:v>
      </x:c>
      <x:c r="K16" s="16" t="n">
        <x:v>46222.416666666664</x:v>
      </x:c>
    </x:row>
    <x:row r="17">
      <x:c r="A17" s="16" t="str">
        <x:v>EX016</x:v>
      </x:c>
      <x:c r="B17" s="16" t="str">
        <x:v>Incline dumbbell press</x:v>
      </x:c>
      <x:c r="C17" s="16" t="str">
        <x:v>Upper chest</x:v>
      </x:c>
      <x:c r="D17" s="16" t="str">
        <x:v>Incline press</x:v>
      </x:c>
      <x:c r="E17" s="16" t="str">
        <x:v>Dumbbells + bench</x:v>
      </x:c>
      <x:c r="F17" s="16" t="str">
        <x:v>Press</x:v>
      </x:c>
      <x:c r="G17" s="16" t="str">
        <x:v>Accessory</x:v>
      </x:c>
      <x:c r="H17" s="16" t="str">
        <x:v>Use controlled eccentric.</x:v>
      </x:c>
      <x:c r="I17" s="16" t="str">
        <x:v>Yes</x:v>
      </x:c>
      <x:c r="J17" s="42" t="b">
        <x:v>0</x:v>
      </x:c>
      <x:c r="K17" s="16" t="n">
        <x:v>46222.416666666664</x:v>
      </x:c>
    </x:row>
    <x:row r="18">
      <x:c r="A18" s="16" t="str">
        <x:v>EX017</x:v>
      </x:c>
      <x:c r="B18" s="16" t="str">
        <x:v>Floor press</x:v>
      </x:c>
      <x:c r="C18" s="16" t="str">
        <x:v>Chest / Triceps</x:v>
      </x:c>
      <x:c r="D18" s="16" t="str">
        <x:v>Horizontal press</x:v>
      </x:c>
      <x:c r="E18" s="16" t="str">
        <x:v>Barbell or dumbbells</x:v>
      </x:c>
      <x:c r="F18" s="16" t="str">
        <x:v>Press</x:v>
      </x:c>
      <x:c r="G18" s="16" t="str">
        <x:v>Substitution</x:v>
      </x:c>
      <x:c r="H18" s="16" t="str">
        <x:v>Good if shoulder range is sensitive.</x:v>
      </x:c>
      <x:c r="I18" s="16" t="str">
        <x:v>Yes</x:v>
      </x:c>
      <x:c r="J18" s="42" t="b">
        <x:v>0</x:v>
      </x:c>
      <x:c r="K18" s="16" t="n">
        <x:v>46222.416666666664</x:v>
      </x:c>
    </x:row>
    <x:row r="19">
      <x:c r="A19" s="16" t="str">
        <x:v>EX018</x:v>
      </x:c>
      <x:c r="B19" s="16" t="str">
        <x:v>Close-grip bench press</x:v>
      </x:c>
      <x:c r="C19" s="16" t="str">
        <x:v>Triceps / Chest</x:v>
      </x:c>
      <x:c r="D19" s="16" t="str">
        <x:v>Horizontal press</x:v>
      </x:c>
      <x:c r="E19" s="16" t="str">
        <x:v>Power rack + barbell</x:v>
      </x:c>
      <x:c r="F19" s="16" t="str">
        <x:v>Triceps</x:v>
      </x:c>
      <x:c r="G19" s="16" t="str">
        <x:v>Accessory</x:v>
      </x:c>
      <x:c r="H19" s="16" t="str">
        <x:v>Avoid painful wrist/elbow angles.</x:v>
      </x:c>
      <x:c r="I19" s="16" t="str">
        <x:v>Yes</x:v>
      </x:c>
      <x:c r="J19" s="42" t="b">
        <x:v>0</x:v>
      </x:c>
      <x:c r="K19" s="16" t="n">
        <x:v>46222.416666666664</x:v>
      </x:c>
    </x:row>
    <x:row r="20">
      <x:c r="A20" s="16" t="str">
        <x:v>EX019</x:v>
      </x:c>
      <x:c r="B20" s="16" t="str">
        <x:v>Weighted ring push-up</x:v>
      </x:c>
      <x:c r="C20" s="16" t="str">
        <x:v>Chest / Triceps</x:v>
      </x:c>
      <x:c r="D20" s="16" t="str">
        <x:v>Horizontal press</x:v>
      </x:c>
      <x:c r="E20" s="16" t="str">
        <x:v>Rings / straps</x:v>
      </x:c>
      <x:c r="F20" s="16" t="str">
        <x:v>Press</x:v>
      </x:c>
      <x:c r="G20" s="16" t="str">
        <x:v>Substitution</x:v>
      </x:c>
      <x:c r="H20" s="16" t="str">
        <x:v>Progress by adding load or elevating feet.</x:v>
      </x:c>
      <x:c r="I20" s="16" t="str">
        <x:v>Yes</x:v>
      </x:c>
      <x:c r="J20" s="42" t="b">
        <x:v>0</x:v>
      </x:c>
      <x:c r="K20" s="16" t="n">
        <x:v>46222.416666666664</x:v>
      </x:c>
    </x:row>
    <x:row r="21">
      <x:c r="A21" s="16" t="str">
        <x:v>EX020</x:v>
      </x:c>
      <x:c r="B21" s="16" t="str">
        <x:v>Seated dumbbell overhead press</x:v>
      </x:c>
      <x:c r="C21" s="16" t="str">
        <x:v>Delts / Triceps</x:v>
      </x:c>
      <x:c r="D21" s="16" t="str">
        <x:v>Vertical press</x:v>
      </x:c>
      <x:c r="E21" s="16" t="str">
        <x:v>Dumbbells + bench</x:v>
      </x:c>
      <x:c r="F21" s="16" t="str">
        <x:v>Press</x:v>
      </x:c>
      <x:c r="G21" s="16" t="str">
        <x:v>Main lift</x:v>
      </x:c>
      <x:c r="H21" s="16" t="str">
        <x:v>More back-friendly than standing press.</x:v>
      </x:c>
      <x:c r="I21" s="16" t="str">
        <x:v>Yes</x:v>
      </x:c>
      <x:c r="J21" s="42" t="b">
        <x:v>0</x:v>
      </x:c>
      <x:c r="K21" s="16" t="n">
        <x:v>46222.416666666664</x:v>
      </x:c>
    </x:row>
    <x:row r="22">
      <x:c r="A22" s="16" t="str">
        <x:v>EX021</x:v>
      </x:c>
      <x:c r="B22" s="16" t="str">
        <x:v>Standing overhead press</x:v>
      </x:c>
      <x:c r="C22" s="16" t="str">
        <x:v>Delts / Triceps</x:v>
      </x:c>
      <x:c r="D22" s="16" t="str">
        <x:v>Vertical press</x:v>
      </x:c>
      <x:c r="E22" s="16" t="str">
        <x:v>Barbell</x:v>
      </x:c>
      <x:c r="F22" s="16" t="str">
        <x:v>Press</x:v>
      </x:c>
      <x:c r="G22" s="16" t="str">
        <x:v>Substitution</x:v>
      </x:c>
      <x:c r="H22" s="16" t="str">
        <x:v>Use only if bracing is solid.</x:v>
      </x:c>
      <x:c r="I22" s="16" t="str">
        <x:v>Yes</x:v>
      </x:c>
      <x:c r="J22" s="42" t="b">
        <x:v>0</x:v>
      </x:c>
      <x:c r="K22" s="16" t="n">
        <x:v>46222.416666666664</x:v>
      </x:c>
    </x:row>
    <x:row r="23">
      <x:c r="A23" s="16" t="str">
        <x:v>EX022</x:v>
      </x:c>
      <x:c r="B23" s="16" t="str">
        <x:v>Incline dumbbell or seated dumbbell press</x:v>
      </x:c>
      <x:c r="C23" s="16" t="str">
        <x:v>Chest / Delts</x:v>
      </x:c>
      <x:c r="D23" s="16" t="str">
        <x:v>Incline or vertical press</x:v>
      </x:c>
      <x:c r="E23" s="16" t="str">
        <x:v>Dumbbells + bench</x:v>
      </x:c>
      <x:c r="F23" s="16" t="str">
        <x:v>Press</x:v>
      </x:c>
      <x:c r="G23" s="16" t="str">
        <x:v>RFL combined slot</x:v>
      </x:c>
      <x:c r="H23" s="16" t="str">
        <x:v>Choose the one that feels strongest that day.</x:v>
      </x:c>
      <x:c r="I23" s="16" t="str">
        <x:v>Yes</x:v>
      </x:c>
      <x:c r="J23" s="42" t="b">
        <x:v>0</x:v>
      </x:c>
      <x:c r="K23" s="16" t="n">
        <x:v>46222.416666666664</x:v>
      </x:c>
    </x:row>
    <x:row r="24">
      <x:c r="A24" s="16" t="str">
        <x:v>EX023</x:v>
      </x:c>
      <x:c r="B24" s="16" t="str">
        <x:v>Chest-supported dumbbell row</x:v>
      </x:c>
      <x:c r="C24" s="16" t="str">
        <x:v>Upper back / Lats</x:v>
      </x:c>
      <x:c r="D24" s="16" t="str">
        <x:v>Horizontal pull</x:v>
      </x:c>
      <x:c r="E24" s="16" t="str">
        <x:v>Dumbbells + incline bench</x:v>
      </x:c>
      <x:c r="F24" s="16" t="str">
        <x:v>Row</x:v>
      </x:c>
      <x:c r="G24" s="16" t="str">
        <x:v>Main lift</x:v>
      </x:c>
      <x:c r="H24" s="16" t="str">
        <x:v>Preferred back-friendly row.</x:v>
      </x:c>
      <x:c r="I24" s="16" t="str">
        <x:v>Yes</x:v>
      </x:c>
      <x:c r="J24" s="42" t="b">
        <x:v>0</x:v>
      </x:c>
      <x:c r="K24" s="16" t="n">
        <x:v>46222.416666666664</x:v>
      </x:c>
    </x:row>
    <x:row r="25">
      <x:c r="A25" s="16" t="str">
        <x:v>EX024</x:v>
      </x:c>
      <x:c r="B25" s="16" t="str">
        <x:v>One-arm cable row</x:v>
      </x:c>
      <x:c r="C25" s="16" t="str">
        <x:v>Upper back / Lats</x:v>
      </x:c>
      <x:c r="D25" s="16" t="str">
        <x:v>Horizontal pull</x:v>
      </x:c>
      <x:c r="E25" s="16" t="str">
        <x:v>Cable</x:v>
      </x:c>
      <x:c r="F25" s="16" t="str">
        <x:v>Row</x:v>
      </x:c>
      <x:c r="G25" s="16" t="str">
        <x:v>Accessory</x:v>
      </x:c>
      <x:c r="H25" s="16" t="str">
        <x:v>Keep torso stable.</x:v>
      </x:c>
      <x:c r="I25" s="16" t="str">
        <x:v>Yes</x:v>
      </x:c>
      <x:c r="J25" s="42" t="b">
        <x:v>0</x:v>
      </x:c>
      <x:c r="K25" s="16" t="n">
        <x:v>46222.416666666664</x:v>
      </x:c>
    </x:row>
    <x:row r="26">
      <x:c r="A26" s="16" t="str">
        <x:v>EX025</x:v>
      </x:c>
      <x:c r="B26" s="16" t="str">
        <x:v>Seated cable row</x:v>
      </x:c>
      <x:c r="C26" s="16" t="str">
        <x:v>Upper back / Lats</x:v>
      </x:c>
      <x:c r="D26" s="16" t="str">
        <x:v>Horizontal pull</x:v>
      </x:c>
      <x:c r="E26" s="16" t="str">
        <x:v>Cable</x:v>
      </x:c>
      <x:c r="F26" s="16" t="str">
        <x:v>Row</x:v>
      </x:c>
      <x:c r="G26" s="16" t="str">
        <x:v>Substitution</x:v>
      </x:c>
      <x:c r="H26" s="16" t="str">
        <x:v>Good controlled row option.</x:v>
      </x:c>
      <x:c r="I26" s="16" t="str">
        <x:v>Yes</x:v>
      </x:c>
      <x:c r="J26" s="42" t="b">
        <x:v>0</x:v>
      </x:c>
      <x:c r="K26" s="16" t="n">
        <x:v>46222.416666666664</x:v>
      </x:c>
    </x:row>
    <x:row r="27">
      <x:c r="A27" s="16" t="str">
        <x:v>EX026</x:v>
      </x:c>
      <x:c r="B27" s="16" t="str">
        <x:v>One-arm dumbbell row</x:v>
      </x:c>
      <x:c r="C27" s="16" t="str">
        <x:v>Lats / Upper back</x:v>
      </x:c>
      <x:c r="D27" s="16" t="str">
        <x:v>Horizontal pull</x:v>
      </x:c>
      <x:c r="E27" s="16" t="str">
        <x:v>Dumbbell + bench</x:v>
      </x:c>
      <x:c r="F27" s="16" t="str">
        <x:v>Row</x:v>
      </x:c>
      <x:c r="G27" s="16" t="str">
        <x:v>Substitution</x:v>
      </x:c>
      <x:c r="H27" s="16" t="str">
        <x:v>Support torso on bench.</x:v>
      </x:c>
      <x:c r="I27" s="16" t="str">
        <x:v>Yes</x:v>
      </x:c>
      <x:c r="J27" s="42" t="b">
        <x:v>0</x:v>
      </x:c>
      <x:c r="K27" s="16" t="n">
        <x:v>46222.416666666664</x:v>
      </x:c>
    </x:row>
    <x:row r="28">
      <x:c r="A28" s="16" t="str">
        <x:v>EX027</x:v>
      </x:c>
      <x:c r="B28" s="16" t="str">
        <x:v>Inverted row</x:v>
      </x:c>
      <x:c r="C28" s="16" t="str">
        <x:v>Upper back</x:v>
      </x:c>
      <x:c r="D28" s="16" t="str">
        <x:v>Horizontal pull</x:v>
      </x:c>
      <x:c r="E28" s="16" t="str">
        <x:v>Rings / bar in rack</x:v>
      </x:c>
      <x:c r="F28" s="16" t="str">
        <x:v>Row</x:v>
      </x:c>
      <x:c r="G28" s="16" t="str">
        <x:v>Substitution</x:v>
      </x:c>
      <x:c r="H28" s="16" t="str">
        <x:v>Adjust body angle for difficulty.</x:v>
      </x:c>
      <x:c r="I28" s="16" t="str">
        <x:v>Yes</x:v>
      </x:c>
      <x:c r="J28" s="42" t="b">
        <x:v>0</x:v>
      </x:c>
      <x:c r="K28" s="16" t="n">
        <x:v>46222.416666666664</x:v>
      </x:c>
    </x:row>
    <x:row r="29">
      <x:c r="A29" s="16" t="str">
        <x:v>EX028</x:v>
      </x:c>
      <x:c r="B29" s="16" t="str">
        <x:v>Barbell row</x:v>
      </x:c>
      <x:c r="C29" s="16" t="str">
        <x:v>Upper back</x:v>
      </x:c>
      <x:c r="D29" s="16" t="str">
        <x:v>Horizontal pull</x:v>
      </x:c>
      <x:c r="E29" s="16" t="str">
        <x:v>Barbell</x:v>
      </x:c>
      <x:c r="F29" s="16" t="str">
        <x:v>Row</x:v>
      </x:c>
      <x:c r="G29" s="16" t="str">
        <x:v>Caution</x:v>
      </x:c>
      <x:c r="H29" s="16" t="str">
        <x:v>Use only if lower back is not limiting.</x:v>
      </x:c>
      <x:c r="I29" s="16" t="str">
        <x:v>No during RFL if fatigued</x:v>
      </x:c>
      <x:c r="J29" s="42" t="b">
        <x:v>0</x:v>
      </x:c>
      <x:c r="K29" s="16" t="n">
        <x:v>46222.416666666664</x:v>
      </x:c>
    </x:row>
    <x:row r="30">
      <x:c r="A30" s="16" t="str">
        <x:v>EX029</x:v>
      </x:c>
      <x:c r="B30" s="16" t="str">
        <x:v>Cable lat pulldown</x:v>
      </x:c>
      <x:c r="C30" s="16" t="str">
        <x:v>Lats</x:v>
      </x:c>
      <x:c r="D30" s="16" t="str">
        <x:v>Vertical pull</x:v>
      </x:c>
      <x:c r="E30" s="16" t="str">
        <x:v>Cable</x:v>
      </x:c>
      <x:c r="F30" s="16" t="str">
        <x:v>Vertical pull</x:v>
      </x:c>
      <x:c r="G30" s="16" t="str">
        <x:v>Main lift</x:v>
      </x:c>
      <x:c r="H30" s="16" t="str">
        <x:v>Use controlled stretch.</x:v>
      </x:c>
      <x:c r="I30" s="16" t="str">
        <x:v>Yes</x:v>
      </x:c>
      <x:c r="J30" s="42" t="b">
        <x:v>0</x:v>
      </x:c>
      <x:c r="K30" s="16" t="n">
        <x:v>46222.416666666664</x:v>
      </x:c>
    </x:row>
    <x:row r="31">
      <x:c r="A31" s="16" t="str">
        <x:v>EX030</x:v>
      </x:c>
      <x:c r="B31" s="16" t="str">
        <x:v>Ring chin-up</x:v>
      </x:c>
      <x:c r="C31" s="16" t="str">
        <x:v>Lats / Biceps</x:v>
      </x:c>
      <x:c r="D31" s="16" t="str">
        <x:v>Vertical pull</x:v>
      </x:c>
      <x:c r="E31" s="16" t="str">
        <x:v>Rings / pull-up bar</x:v>
      </x:c>
      <x:c r="F31" s="16" t="str">
        <x:v>Vertical pull</x:v>
      </x:c>
      <x:c r="G31" s="16" t="str">
        <x:v>Substitution</x:v>
      </x:c>
      <x:c r="H31" s="16" t="str">
        <x:v>Use assistance if needed.</x:v>
      </x:c>
      <x:c r="I31" s="16" t="str">
        <x:v>Yes</x:v>
      </x:c>
      <x:c r="J31" s="42" t="b">
        <x:v>0</x:v>
      </x:c>
      <x:c r="K31" s="16" t="n">
        <x:v>46222.416666666664</x:v>
      </x:c>
    </x:row>
    <x:row r="32">
      <x:c r="A32" s="16" t="str">
        <x:v>EX031</x:v>
      </x:c>
      <x:c r="B32" s="16" t="str">
        <x:v>Weighted chin-up</x:v>
      </x:c>
      <x:c r="C32" s="16" t="str">
        <x:v>Lats / Biceps</x:v>
      </x:c>
      <x:c r="D32" s="16" t="str">
        <x:v>Vertical pull</x:v>
      </x:c>
      <x:c r="E32" s="16" t="str">
        <x:v>Pull-up bar + belt</x:v>
      </x:c>
      <x:c r="F32" s="16" t="str">
        <x:v>Vertical pull</x:v>
      </x:c>
      <x:c r="G32" s="16" t="str">
        <x:v>Main lift</x:v>
      </x:c>
      <x:c r="H32" s="16" t="str">
        <x:v>Only load when reps are clean.</x:v>
      </x:c>
      <x:c r="I32" s="16" t="str">
        <x:v>Yes</x:v>
      </x:c>
      <x:c r="J32" s="42" t="b">
        <x:v>0</x:v>
      </x:c>
      <x:c r="K32" s="16" t="n">
        <x:v>46222.416666666664</x:v>
      </x:c>
    </x:row>
    <x:row r="33">
      <x:c r="A33" s="16" t="str">
        <x:v>EX032</x:v>
      </x:c>
      <x:c r="B33" s="16" t="str">
        <x:v>Straight-arm cable pulldown</x:v>
      </x:c>
      <x:c r="C33" s="16" t="str">
        <x:v>Lats</x:v>
      </x:c>
      <x:c r="D33" s="16" t="str">
        <x:v>Pullover</x:v>
      </x:c>
      <x:c r="E33" s="16" t="str">
        <x:v>Cable</x:v>
      </x:c>
      <x:c r="F33" s="16" t="str">
        <x:v>Vertical pull</x:v>
      </x:c>
      <x:c r="G33" s="16" t="str">
        <x:v>Accessory</x:v>
      </x:c>
      <x:c r="H33" s="16" t="str">
        <x:v>Good lat isolation add-on.</x:v>
      </x:c>
      <x:c r="I33" s="16" t="str">
        <x:v>Yes</x:v>
      </x:c>
      <x:c r="J33" s="42" t="b">
        <x:v>0</x:v>
      </x:c>
      <x:c r="K33" s="16" t="n">
        <x:v>46222.416666666664</x:v>
      </x:c>
    </x:row>
    <x:row r="34">
      <x:c r="A34" s="16" t="str">
        <x:v>EX033</x:v>
      </x:c>
      <x:c r="B34" s="16" t="str">
        <x:v>Cable lateral raise</x:v>
      </x:c>
      <x:c r="C34" s="16" t="str">
        <x:v>Side delts</x:v>
      </x:c>
      <x:c r="D34" s="16" t="str">
        <x:v>Lateral raise</x:v>
      </x:c>
      <x:c r="E34" s="16" t="str">
        <x:v>Cable</x:v>
      </x:c>
      <x:c r="F34" s="16" t="str">
        <x:v>Delts</x:v>
      </x:c>
      <x:c r="G34" s="16" t="str">
        <x:v>GVS-style accessory</x:v>
      </x:c>
      <x:c r="H34" s="16" t="str">
        <x:v>High-control delt work.</x:v>
      </x:c>
      <x:c r="I34" s="16" t="str">
        <x:v>Yes</x:v>
      </x:c>
      <x:c r="J34" s="42" t="b">
        <x:v>0</x:v>
      </x:c>
      <x:c r="K34" s="16" t="n">
        <x:v>46222.416666666664</x:v>
      </x:c>
    </x:row>
    <x:row r="35">
      <x:c r="A35" s="16" t="str">
        <x:v>EX034</x:v>
      </x:c>
      <x:c r="B35" s="16" t="str">
        <x:v>Dumbbell lateral raise</x:v>
      </x:c>
      <x:c r="C35" s="16" t="str">
        <x:v>Side delts</x:v>
      </x:c>
      <x:c r="D35" s="16" t="str">
        <x:v>Lateral raise</x:v>
      </x:c>
      <x:c r="E35" s="16" t="str">
        <x:v>Dumbbells</x:v>
      </x:c>
      <x:c r="F35" s="16" t="str">
        <x:v>Delts</x:v>
      </x:c>
      <x:c r="G35" s="16" t="str">
        <x:v>Substitution</x:v>
      </x:c>
      <x:c r="H35" s="16" t="str">
        <x:v>Use strict reps; avoid swinging.</x:v>
      </x:c>
      <x:c r="I35" s="16" t="str">
        <x:v>Yes</x:v>
      </x:c>
      <x:c r="J35" s="42" t="b">
        <x:v>0</x:v>
      </x:c>
      <x:c r="K35" s="16" t="n">
        <x:v>46222.416666666664</x:v>
      </x:c>
    </x:row>
    <x:row r="36">
      <x:c r="A36" s="16" t="str">
        <x:v>EX035</x:v>
      </x:c>
      <x:c r="B36" s="16" t="str">
        <x:v>Cable rear-delt fly</x:v>
      </x:c>
      <x:c r="C36" s="16" t="str">
        <x:v>Rear delts</x:v>
      </x:c>
      <x:c r="D36" s="16" t="str">
        <x:v>Rear delt</x:v>
      </x:c>
      <x:c r="E36" s="16" t="str">
        <x:v>Cable</x:v>
      </x:c>
      <x:c r="F36" s="16" t="str">
        <x:v>Rear delts</x:v>
      </x:c>
      <x:c r="G36" s="16" t="str">
        <x:v>Accessory</x:v>
      </x:c>
      <x:c r="H36" s="16" t="str">
        <x:v>Lead with elbows, not hands.</x:v>
      </x:c>
      <x:c r="I36" s="16" t="str">
        <x:v>Yes</x:v>
      </x:c>
      <x:c r="J36" s="42" t="b">
        <x:v>0</x:v>
      </x:c>
      <x:c r="K36" s="16" t="n">
        <x:v>46222.416666666664</x:v>
      </x:c>
    </x:row>
    <x:row r="37">
      <x:c r="A37" s="16" t="str">
        <x:v>EX036</x:v>
      </x:c>
      <x:c r="B37" s="16" t="str">
        <x:v>Face pull</x:v>
      </x:c>
      <x:c r="C37" s="16" t="str">
        <x:v>Rear delts / Upper back</x:v>
      </x:c>
      <x:c r="D37" s="16" t="str">
        <x:v>Rear delt / external rotation</x:v>
      </x:c>
      <x:c r="E37" s="16" t="str">
        <x:v>Cable</x:v>
      </x:c>
      <x:c r="F37" s="16" t="str">
        <x:v>Rear delts</x:v>
      </x:c>
      <x:c r="G37" s="16" t="str">
        <x:v>Substitution</x:v>
      </x:c>
      <x:c r="H37" s="16" t="str">
        <x:v>Good shoulder-health option.</x:v>
      </x:c>
      <x:c r="I37" s="16" t="str">
        <x:v>Yes</x:v>
      </x:c>
      <x:c r="J37" s="42" t="b">
        <x:v>0</x:v>
      </x:c>
      <x:c r="K37" s="16" t="n">
        <x:v>46222.416666666664</x:v>
      </x:c>
    </x:row>
    <x:row r="38">
      <x:c r="A38" s="16" t="str">
        <x:v>EX037</x:v>
      </x:c>
      <x:c r="B38" s="16" t="str">
        <x:v>Rear-delt cable fly</x:v>
      </x:c>
      <x:c r="C38" s="16" t="str">
        <x:v>Rear delts</x:v>
      </x:c>
      <x:c r="D38" s="16" t="str">
        <x:v>Rear delt</x:v>
      </x:c>
      <x:c r="E38" s="16" t="str">
        <x:v>Cable</x:v>
      </x:c>
      <x:c r="F38" s="16" t="str">
        <x:v>Rear delts</x:v>
      </x:c>
      <x:c r="G38" s="16" t="str">
        <x:v>Accessory</x:v>
      </x:c>
      <x:c r="H38" s="16" t="str">
        <x:v>Same as cable rear-delt fly.</x:v>
      </x:c>
      <x:c r="I38" s="16" t="str">
        <x:v>Yes</x:v>
      </x:c>
      <x:c r="J38" s="42" t="b">
        <x:v>0</x:v>
      </x:c>
      <x:c r="K38" s="16" t="n">
        <x:v>46222.416666666664</x:v>
      </x:c>
    </x:row>
    <x:row r="39">
      <x:c r="A39" s="16" t="str">
        <x:v>EX038</x:v>
      </x:c>
      <x:c r="B39" s="16" t="str">
        <x:v>Cable triceps pushdown</x:v>
      </x:c>
      <x:c r="C39" s="16" t="str">
        <x:v>Triceps</x:v>
      </x:c>
      <x:c r="D39" s="16" t="str">
        <x:v>Elbow extension</x:v>
      </x:c>
      <x:c r="E39" s="16" t="str">
        <x:v>Cable</x:v>
      </x:c>
      <x:c r="F39" s="16" t="str">
        <x:v>Triceps</x:v>
      </x:c>
      <x:c r="G39" s="16" t="str">
        <x:v>Accessory</x:v>
      </x:c>
      <x:c r="H39" s="16" t="str">
        <x:v>Keep upper arm fixed.</x:v>
      </x:c>
      <x:c r="I39" s="16" t="str">
        <x:v>Yes</x:v>
      </x:c>
      <x:c r="J39" s="42" t="b">
        <x:v>0</x:v>
      </x:c>
      <x:c r="K39" s="16" t="n">
        <x:v>46222.416666666664</x:v>
      </x:c>
    </x:row>
    <x:row r="40">
      <x:c r="A40" s="16" t="str">
        <x:v>EX039</x:v>
      </x:c>
      <x:c r="B40" s="16" t="str">
        <x:v>Overhead cable triceps extension</x:v>
      </x:c>
      <x:c r="C40" s="16" t="str">
        <x:v>Triceps long head</x:v>
      </x:c>
      <x:c r="D40" s="16" t="str">
        <x:v>Elbow extension</x:v>
      </x:c>
      <x:c r="E40" s="16" t="str">
        <x:v>Cable</x:v>
      </x:c>
      <x:c r="F40" s="16" t="str">
        <x:v>Triceps</x:v>
      </x:c>
      <x:c r="G40" s="16" t="str">
        <x:v>Accessory</x:v>
      </x:c>
      <x:c r="H40" s="16" t="str">
        <x:v>Use pain-free elbow path.</x:v>
      </x:c>
      <x:c r="I40" s="16" t="str">
        <x:v>Yes</x:v>
      </x:c>
      <x:c r="J40" s="42" t="b">
        <x:v>0</x:v>
      </x:c>
      <x:c r="K40" s="16" t="n">
        <x:v>46222.416666666664</x:v>
      </x:c>
    </x:row>
    <x:row r="41">
      <x:c r="A41" s="16" t="str">
        <x:v>EX040</x:v>
      </x:c>
      <x:c r="B41" s="16" t="str">
        <x:v>Dumbbell skull crusher</x:v>
      </x:c>
      <x:c r="C41" s="16" t="str">
        <x:v>Triceps</x:v>
      </x:c>
      <x:c r="D41" s="16" t="str">
        <x:v>Elbow extension</x:v>
      </x:c>
      <x:c r="E41" s="16" t="str">
        <x:v>Dumbbells</x:v>
      </x:c>
      <x:c r="F41" s="16" t="str">
        <x:v>Triceps</x:v>
      </x:c>
      <x:c r="G41" s="16" t="str">
        <x:v>Substitution</x:v>
      </x:c>
      <x:c r="H41" s="16" t="str">
        <x:v>Use light and controlled.</x:v>
      </x:c>
      <x:c r="I41" s="16" t="str">
        <x:v>Maybe</x:v>
      </x:c>
      <x:c r="J41" s="42" t="b">
        <x:v>0</x:v>
      </x:c>
      <x:c r="K41" s="16" t="n">
        <x:v>46222.416666666664</x:v>
      </x:c>
    </x:row>
    <x:row r="42">
      <x:c r="A42" s="16" t="str">
        <x:v>EX041</x:v>
      </x:c>
      <x:c r="B42" s="16" t="str">
        <x:v>Cable curl</x:v>
      </x:c>
      <x:c r="C42" s="16" t="str">
        <x:v>Biceps</x:v>
      </x:c>
      <x:c r="D42" s="16" t="str">
        <x:v>Elbow flexion</x:v>
      </x:c>
      <x:c r="E42" s="16" t="str">
        <x:v>Cable</x:v>
      </x:c>
      <x:c r="F42" s="16" t="str">
        <x:v>Biceps</x:v>
      </x:c>
      <x:c r="G42" s="16" t="str">
        <x:v>Accessory</x:v>
      </x:c>
      <x:c r="H42" s="16" t="str">
        <x:v>Constant tension curl.</x:v>
      </x:c>
      <x:c r="I42" s="16" t="str">
        <x:v>Yes</x:v>
      </x:c>
      <x:c r="J42" s="42" t="b">
        <x:v>0</x:v>
      </x:c>
      <x:c r="K42" s="16" t="n">
        <x:v>46222.416666666664</x:v>
      </x:c>
    </x:row>
    <x:row r="43">
      <x:c r="A43" s="16" t="str">
        <x:v>EX042</x:v>
      </x:c>
      <x:c r="B43" s="16" t="str">
        <x:v>Incline dumbbell curl</x:v>
      </x:c>
      <x:c r="C43" s="16" t="str">
        <x:v>Biceps</x:v>
      </x:c>
      <x:c r="D43" s="16" t="str">
        <x:v>Elbow flexion</x:v>
      </x:c>
      <x:c r="E43" s="16" t="str">
        <x:v>Dumbbells + bench</x:v>
      </x:c>
      <x:c r="F43" s="16" t="str">
        <x:v>Biceps</x:v>
      </x:c>
      <x:c r="G43" s="16" t="str">
        <x:v>Accessory</x:v>
      </x:c>
      <x:c r="H43" s="16" t="str">
        <x:v>Great long-head stretch; do not overextend shoulder.</x:v>
      </x:c>
      <x:c r="I43" s="16" t="str">
        <x:v>Yes</x:v>
      </x:c>
      <x:c r="J43" s="42" t="b">
        <x:v>0</x:v>
      </x:c>
      <x:c r="K43" s="16" t="n">
        <x:v>46222.416666666664</x:v>
      </x:c>
    </x:row>
    <x:row r="44">
      <x:c r="A44" s="16" t="str">
        <x:v>EX043</x:v>
      </x:c>
      <x:c r="B44" s="16" t="str">
        <x:v>Dumbbell hammer curl</x:v>
      </x:c>
      <x:c r="C44" s="16" t="str">
        <x:v>Biceps / Brachialis</x:v>
      </x:c>
      <x:c r="D44" s="16" t="str">
        <x:v>Elbow flexion</x:v>
      </x:c>
      <x:c r="E44" s="16" t="str">
        <x:v>Dumbbells</x:v>
      </x:c>
      <x:c r="F44" s="16" t="str">
        <x:v>Biceps</x:v>
      </x:c>
      <x:c r="G44" s="16" t="str">
        <x:v>Accessory</x:v>
      </x:c>
      <x:c r="H44" s="16" t="str">
        <x:v>Neutral-grip elbow-friendly curl.</x:v>
      </x:c>
      <x:c r="I44" s="16" t="str">
        <x:v>Yes</x:v>
      </x:c>
      <x:c r="J44" s="42" t="b">
        <x:v>0</x:v>
      </x:c>
      <x:c r="K44" s="16" t="n">
        <x:v>46222.416666666664</x:v>
      </x:c>
    </x:row>
    <x:row r="45">
      <x:c r="A45" s="16" t="str">
        <x:v>EX044</x:v>
      </x:c>
      <x:c r="B45" s="16" t="str">
        <x:v>Ring curl</x:v>
      </x:c>
      <x:c r="C45" s="16" t="str">
        <x:v>Biceps</x:v>
      </x:c>
      <x:c r="D45" s="16" t="str">
        <x:v>Elbow flexion</x:v>
      </x:c>
      <x:c r="E45" s="16" t="str">
        <x:v>Rings / straps</x:v>
      </x:c>
      <x:c r="F45" s="16" t="str">
        <x:v>Biceps</x:v>
      </x:c>
      <x:c r="G45" s="16" t="str">
        <x:v>Substitution</x:v>
      </x:c>
      <x:c r="H45" s="16" t="str">
        <x:v>Adjust angle for difficulty.</x:v>
      </x:c>
      <x:c r="I45" s="16" t="str">
        <x:v>Yes</x:v>
      </x:c>
      <x:c r="J45" s="42" t="b">
        <x:v>0</x:v>
      </x:c>
      <x:c r="K45" s="16" t="n">
        <x:v>46222.416666666664</x:v>
      </x:c>
    </x:row>
    <x:row r="46">
      <x:c r="A46" s="16" t="str">
        <x:v>EX045</x:v>
      </x:c>
      <x:c r="B46" s="16" t="str">
        <x:v>Cable or ring curl</x:v>
      </x:c>
      <x:c r="C46" s="16" t="str">
        <x:v>Biceps</x:v>
      </x:c>
      <x:c r="D46" s="16" t="str">
        <x:v>Elbow flexion</x:v>
      </x:c>
      <x:c r="E46" s="16" t="str">
        <x:v>Cable or rings</x:v>
      </x:c>
      <x:c r="F46" s="16" t="str">
        <x:v>Biceps</x:v>
      </x:c>
      <x:c r="G46" s="16" t="str">
        <x:v>Optional slot</x:v>
      </x:c>
      <x:c r="H46" s="16" t="str">
        <x:v>Choose cable if elbows feel sensitive.</x:v>
      </x:c>
      <x:c r="I46" s="16" t="str">
        <x:v>Yes</x:v>
      </x:c>
      <x:c r="J46" s="42" t="b">
        <x:v>0</x:v>
      </x:c>
      <x:c r="K46" s="16" t="n">
        <x:v>46222.416666666664</x:v>
      </x:c>
    </x:row>
    <x:row r="47">
      <x:c r="A47" s="16" t="str">
        <x:v>EX046</x:v>
      </x:c>
      <x:c r="B47" s="16" t="str">
        <x:v>Dead bug</x:v>
      </x:c>
      <x:c r="C47" s="16" t="str">
        <x:v>Core</x:v>
      </x:c>
      <x:c r="D47" s="16" t="str">
        <x:v>Anti-extension</x:v>
      </x:c>
      <x:c r="E47" s="16" t="str">
        <x:v>Bodyweight</x:v>
      </x:c>
      <x:c r="F47" s="16" t="str">
        <x:v>Core</x:v>
      </x:c>
      <x:c r="G47" s="16" t="str">
        <x:v>Accessory</x:v>
      </x:c>
      <x:c r="H47" s="16" t="str">
        <x:v>Control lower back position.</x:v>
      </x:c>
      <x:c r="I47" s="16" t="str">
        <x:v>Yes</x:v>
      </x:c>
      <x:c r="J47" s="42" t="b">
        <x:v>0</x:v>
      </x:c>
      <x:c r="K47" s="16" t="n">
        <x:v>46222.416666666664</x:v>
      </x:c>
    </x:row>
    <x:row r="48">
      <x:c r="A48" s="16" t="str">
        <x:v>EX047</x:v>
      </x:c>
      <x:c r="B48" s="16" t="str">
        <x:v>Pallof press</x:v>
      </x:c>
      <x:c r="C48" s="16" t="str">
        <x:v>Core</x:v>
      </x:c>
      <x:c r="D48" s="16" t="str">
        <x:v>Anti-rotation</x:v>
      </x:c>
      <x:c r="E48" s="16" t="str">
        <x:v>Cable</x:v>
      </x:c>
      <x:c r="F48" s="16" t="str">
        <x:v>Core</x:v>
      </x:c>
      <x:c r="G48" s="16" t="str">
        <x:v>Accessory</x:v>
      </x:c>
      <x:c r="H48" s="16" t="str">
        <x:v>Pause each rep.</x:v>
      </x:c>
      <x:c r="I48" s="16" t="str">
        <x:v>Yes</x:v>
      </x:c>
      <x:c r="J48" s="42" t="b">
        <x:v>0</x:v>
      </x:c>
      <x:c r="K48" s="16" t="n">
        <x:v>46222.416666666664</x:v>
      </x:c>
    </x:row>
    <x:row r="49">
      <x:c r="A49" s="16" t="str">
        <x:v>EX048</x:v>
      </x:c>
      <x:c r="B49" s="16" t="str">
        <x:v>Ab wheel</x:v>
      </x:c>
      <x:c r="C49" s="16" t="str">
        <x:v>Core</x:v>
      </x:c>
      <x:c r="D49" s="16" t="str">
        <x:v>Anti-extension</x:v>
      </x:c>
      <x:c r="E49" s="16" t="str">
        <x:v>Ab wheel</x:v>
      </x:c>
      <x:c r="F49" s="16" t="str">
        <x:v>Core</x:v>
      </x:c>
      <x:c r="G49" s="16" t="str">
        <x:v>Accessory</x:v>
      </x:c>
      <x:c r="H49" s="16" t="str">
        <x:v>Use only if lower back stays neutral.</x:v>
      </x:c>
      <x:c r="I49" s="16" t="str">
        <x:v>No if fatigued</x:v>
      </x:c>
      <x:c r="J49" s="42" t="b">
        <x:v>0</x:v>
      </x:c>
      <x:c r="K49" s="16" t="n">
        <x:v>46222.416666666664</x:v>
      </x:c>
    </x:row>
    <x:row r="50">
      <x:c r="A50" s="16" t="str">
        <x:v>EX049</x:v>
      </x:c>
      <x:c r="B50" s="16" t="str">
        <x:v>Cable crunch</x:v>
      </x:c>
      <x:c r="C50" s="16" t="str">
        <x:v>Abs</x:v>
      </x:c>
      <x:c r="D50" s="16" t="str">
        <x:v>Spinal flexion</x:v>
      </x:c>
      <x:c r="E50" s="16" t="str">
        <x:v>Cable</x:v>
      </x:c>
      <x:c r="F50" s="16" t="str">
        <x:v>Core</x:v>
      </x:c>
      <x:c r="G50" s="16" t="str">
        <x:v>Substitution</x:v>
      </x:c>
      <x:c r="H50" s="16" t="str">
        <x:v>Controlled range; avoid yanking.</x:v>
      </x:c>
      <x:c r="I50" s="16" t="str">
        <x:v>Yes</x:v>
      </x:c>
      <x:c r="J50" s="42" t="b">
        <x:v>0</x:v>
      </x:c>
      <x:c r="K50" s="16" t="n">
        <x:v>46222.416666666664</x:v>
      </x:c>
    </x:row>
    <x:row r="51">
      <x:c r="A51" s="16" t="str">
        <x:v>EX050</x:v>
      </x:c>
      <x:c r="B51" s="16" t="str">
        <x:v>Brisk walking</x:v>
      </x:c>
      <x:c r="C51" s="16" t="str">
        <x:v>Cardio / Recovery</x:v>
      </x:c>
      <x:c r="D51" s="16" t="str">
        <x:v>Aerobic</x:v>
      </x:c>
      <x:c r="E51" s="16" t="str">
        <x:v>Outdoor / treadmill</x:v>
      </x:c>
      <x:c r="F51" s="16" t="str">
        <x:v>Cardio</x:v>
      </x:c>
      <x:c r="G51" s="16" t="str">
        <x:v>Recovery</x:v>
      </x:c>
      <x:c r="H51" s="16" t="str">
        <x:v>Easy pace where you can speak in sentences.</x:v>
      </x:c>
      <x:c r="I51" s="16" t="str">
        <x:v>Yes</x:v>
      </x:c>
      <x:c r="J51" s="42" t="b">
        <x:v>0</x:v>
      </x:c>
      <x:c r="K51" s="16" t="n">
        <x:v>46222.416666666664</x:v>
      </x:c>
    </x:row>
    <x:row r="52">
      <x:c r="A52" s="16" t="str">
        <x:v>EX051</x:v>
      </x:c>
      <x:c r="B52" s="16" t="str">
        <x:v>Easy bike</x:v>
      </x:c>
      <x:c r="C52" s="16" t="str">
        <x:v>Cardio / Recovery</x:v>
      </x:c>
      <x:c r="D52" s="16" t="str">
        <x:v>Aerobic</x:v>
      </x:c>
      <x:c r="E52" s="16" t="str">
        <x:v>Stationary bike</x:v>
      </x:c>
      <x:c r="F52" s="16" t="str">
        <x:v>Cardio</x:v>
      </x:c>
      <x:c r="G52" s="16" t="str">
        <x:v>Recovery</x:v>
      </x:c>
      <x:c r="H52" s="16" t="str">
        <x:v>Low impact option if available.</x:v>
      </x:c>
      <x:c r="I52" s="16" t="str">
        <x:v>Yes</x:v>
      </x:c>
      <x:c r="J52" s="42" t="b">
        <x:v>0</x:v>
      </x:c>
      <x:c r="K52" s="16" t="n">
        <x:v>46222.416666666664</x:v>
      </x:c>
    </x:row>
    <x:row r="53">
      <x:c r="A53" s="16" t="str">
        <x:v>EX052</x:v>
      </x:c>
      <x:c r="B53" s="16" t="str">
        <x:v>Mobility flow</x:v>
      </x:c>
      <x:c r="C53" s="16" t="str">
        <x:v>Recovery</x:v>
      </x:c>
      <x:c r="D53" s="16" t="str">
        <x:v>Mobility</x:v>
      </x:c>
      <x:c r="E53" s="16" t="str">
        <x:v>Bodyweight</x:v>
      </x:c>
      <x:c r="F53" s="16" t="str">
        <x:v>Recovery</x:v>
      </x:c>
      <x:c r="G53" s="16" t="str">
        <x:v>Recovery</x:v>
      </x:c>
      <x:c r="H53" s="16" t="str">
        <x:v>5-10 minutes hips, t-spine, ankles.</x:v>
      </x:c>
      <x:c r="I53" s="16" t="str">
        <x:v>Yes</x:v>
      </x:c>
      <x:c r="J53" s="42" t="b">
        <x:v>0</x:v>
      </x:c>
      <x:c r="K53" s="16" t="n">
        <x:v>46222.416666666664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0.25" hidden="0" customWidth="1"/>
    <x:col min="8" max="8" width="24" hidden="0" customWidth="1"/>
    <x:col min="17" max="17" width="24" hidden="0" customWidth="1"/>
    <x:col min="18" max="18" width="24" hidden="0" customWidth="1"/>
  </x:cols>
  <x:sheetData>
    <x:row r="1" ht="30" customHeight="1">
      <x:c r="A1" s="22" t="str">
        <x:v>AlternativeID</x:v>
      </x:c>
      <x:c r="B1" s="22" t="str">
        <x:v>DefaultExercise</x:v>
      </x:c>
      <x:c r="C1" s="22" t="str">
        <x:v>Alternative</x:v>
      </x:c>
      <x:c r="D1" s="22" t="str">
        <x:v>Reason</x:v>
      </x:c>
      <x:c r="E1" s="22" t="str">
        <x:v>Notes</x:v>
      </x:c>
      <x:c r="F1" s="22" t="str">
        <x:v>UpdatedAt</x:v>
      </x:c>
    </x:row>
    <x:row r="2">
      <x:c r="A2" s="16" t="str">
        <x:v>ALT001</x:v>
      </x:c>
      <x:c r="B2" s="16" t="str">
        <x:v>High-bar back squat</x:v>
      </x:c>
      <x:c r="C2" s="16" t="str">
        <x:v>Front squat</x:v>
      </x:c>
      <x:c r="D2" s="16" t="str">
        <x:v>Back feels taxed</x:v>
      </x:c>
      <x:c r="E2" s="16" t="str">
        <x:v>More upright torso.</x:v>
      </x:c>
      <x:c r="F2" s="16" t="n">
        <x:v>46222.416666666664</x:v>
      </x:c>
    </x:row>
    <x:row r="3">
      <x:c r="A3" s="16" t="str">
        <x:v>ALT002</x:v>
      </x:c>
      <x:c r="B3" s="16" t="str">
        <x:v>High-bar back squat</x:v>
      </x:c>
      <x:c r="C3" s="16" t="str">
        <x:v>Heels-elevated squat</x:v>
      </x:c>
      <x:c r="D3" s="16" t="str">
        <x:v>Need more quad bias</x:v>
      </x:c>
      <x:c r="E3" s="16" t="str">
        <x:v>Can use dumbbells or barbell.</x:v>
      </x:c>
      <x:c r="F3" s="16" t="n">
        <x:v>46222.416666666664</x:v>
      </x:c>
    </x:row>
    <x:row r="4">
      <x:c r="A4" s="16" t="str">
        <x:v>ALT003</x:v>
      </x:c>
      <x:c r="B4" s="16" t="str">
        <x:v>High-bar back squat</x:v>
      </x:c>
      <x:c r="C4" s="16" t="str">
        <x:v>Box squat</x:v>
      </x:c>
      <x:c r="D4" s="16" t="str">
        <x:v>Need controlled depth</x:v>
      </x:c>
      <x:c r="E4" s="16" t="str">
        <x:v>Use safety pins and a stable box.</x:v>
      </x:c>
      <x:c r="F4" s="16" t="n">
        <x:v>46222.416666666664</x:v>
      </x:c>
    </x:row>
    <x:row r="5">
      <x:c r="A5" s="16" t="str">
        <x:v>ALT004</x:v>
      </x:c>
      <x:c r="B5" s="16" t="str">
        <x:v>High-bar back squat</x:v>
      </x:c>
      <x:c r="C5" s="16" t="str">
        <x:v>Goblet squat</x:v>
      </x:c>
      <x:c r="D5" s="16" t="str">
        <x:v>Deload or warm-up</x:v>
      </x:c>
      <x:c r="E5" s="16" t="str">
        <x:v>Lower loading.</x:v>
      </x:c>
      <x:c r="F5" s="16" t="n">
        <x:v>46222.416666666664</x:v>
      </x:c>
    </x:row>
    <x:row r="6">
      <x:c r="A6" s="16" t="str">
        <x:v>ALT005</x:v>
      </x:c>
      <x:c r="B6" s="16" t="str">
        <x:v>Front squat or heels-elevated squat</x:v>
      </x:c>
      <x:c r="C6" s="16" t="str">
        <x:v>High-bar back squat</x:v>
      </x:c>
      <x:c r="D6" s="16" t="str">
        <x:v>Front rack uncomfortable</x:v>
      </x:c>
      <x:c r="E6" s="16" t="str">
        <x:v>Return to standard squat if back tolerates it.</x:v>
      </x:c>
      <x:c r="F6" s="16" t="n">
        <x:v>46222.416666666664</x:v>
      </x:c>
    </x:row>
    <x:row r="7">
      <x:c r="A7" s="16" t="str">
        <x:v>ALT006</x:v>
      </x:c>
      <x:c r="B7" s="16" t="str">
        <x:v>Front squat or heels-elevated squat</x:v>
      </x:c>
      <x:c r="C7" s="16" t="str">
        <x:v>Bulgarian split squat</x:v>
      </x:c>
      <x:c r="D7" s="16" t="str">
        <x:v>Back-sensitive day</x:v>
      </x:c>
      <x:c r="E7" s="16" t="str">
        <x:v>Hard leg stimulus with less spinal loading.</x:v>
      </x:c>
      <x:c r="F7" s="16" t="n">
        <x:v>46222.416666666664</x:v>
      </x:c>
    </x:row>
    <x:row r="8">
      <x:c r="A8" s="16" t="str">
        <x:v>ALT007</x:v>
      </x:c>
      <x:c r="B8" s="16" t="str">
        <x:v>Romanian deadlift</x:v>
      </x:c>
      <x:c r="C8" s="16" t="str">
        <x:v>Barbell hip thrust</x:v>
      </x:c>
      <x:c r="D8" s="16" t="str">
        <x:v>Lower back discomfort</x:v>
      </x:c>
      <x:c r="E8" s="16" t="str">
        <x:v>Default replacement.</x:v>
      </x:c>
      <x:c r="F8" s="16" t="n">
        <x:v>46222.416666666664</x:v>
      </x:c>
    </x:row>
    <x:row r="9">
      <x:c r="A9" s="16" t="str">
        <x:v>ALT008</x:v>
      </x:c>
      <x:c r="B9" s="16" t="str">
        <x:v>Romanian deadlift</x:v>
      </x:c>
      <x:c r="C9" s="16" t="str">
        <x:v>Cable pull-through</x:v>
      </x:c>
      <x:c r="D9" s="16" t="str">
        <x:v>Lower back discomfort</x:v>
      </x:c>
      <x:c r="E9" s="16" t="str">
        <x:v>Cable hinge pattern.</x:v>
      </x:c>
      <x:c r="F9" s="16" t="n">
        <x:v>46222.416666666664</x:v>
      </x:c>
    </x:row>
    <x:row r="10">
      <x:c r="A10" s="16" t="str">
        <x:v>ALT009</x:v>
      </x:c>
      <x:c r="B10" s="16" t="str">
        <x:v>Romanian deadlift</x:v>
      </x:c>
      <x:c r="C10" s="16" t="str">
        <x:v>Dumbbell Romanian deadlift</x:v>
      </x:c>
      <x:c r="D10" s="16" t="str">
        <x:v>Technique practice</x:v>
      </x:c>
      <x:c r="E10" s="16" t="str">
        <x:v>Smaller load increments.</x:v>
      </x:c>
      <x:c r="F10" s="16" t="n">
        <x:v>46222.416666666664</x:v>
      </x:c>
    </x:row>
    <x:row r="11">
      <x:c r="A11" s="16" t="str">
        <x:v>ALT010</x:v>
      </x:c>
      <x:c r="B11" s="16" t="str">
        <x:v>Romanian deadlift or hip thrust</x:v>
      </x:c>
      <x:c r="C11" s="16" t="str">
        <x:v>Barbell hip thrust</x:v>
      </x:c>
      <x:c r="D11" s="16" t="str">
        <x:v>RFL fatigue</x:v>
      </x:c>
      <x:c r="E11" s="16" t="str">
        <x:v>Back-friendly option.</x:v>
      </x:c>
      <x:c r="F11" s="16" t="n">
        <x:v>46222.416666666664</x:v>
      </x:c>
    </x:row>
    <x:row r="12">
      <x:c r="A12" s="16" t="str">
        <x:v>ALT011</x:v>
      </x:c>
      <x:c r="B12" s="16" t="str">
        <x:v>Romanian deadlift or hip thrust</x:v>
      </x:c>
      <x:c r="C12" s="16" t="str">
        <x:v>Cable pull-through</x:v>
      </x:c>
      <x:c r="D12" s="16" t="str">
        <x:v>Back-sensitive day</x:v>
      </x:c>
      <x:c r="E12" s="16" t="str">
        <x:v>Keep RIR 2-3.</x:v>
      </x:c>
      <x:c r="F12" s="16" t="n">
        <x:v>46222.416666666664</x:v>
      </x:c>
    </x:row>
    <x:row r="13">
      <x:c r="A13" s="16" t="str">
        <x:v>ALT012</x:v>
      </x:c>
      <x:c r="B13" s="16" t="str">
        <x:v>Barbell hip thrust</x:v>
      </x:c>
      <x:c r="C13" s="16" t="str">
        <x:v>Cable pull-through</x:v>
      </x:c>
      <x:c r="D13" s="16" t="str">
        <x:v>Bench setup unavailable</x:v>
      </x:c>
      <x:c r="E13" s="16" t="str">
        <x:v>Good cable substitute.</x:v>
      </x:c>
      <x:c r="F13" s="16" t="n">
        <x:v>46222.416666666664</x:v>
      </x:c>
    </x:row>
    <x:row r="14">
      <x:c r="A14" s="16" t="str">
        <x:v>ALT013</x:v>
      </x:c>
      <x:c r="B14" s="16" t="str">
        <x:v>Barbell bench press</x:v>
      </x:c>
      <x:c r="C14" s="16" t="str">
        <x:v>Dumbbell bench press</x:v>
      </x:c>
      <x:c r="D14" s="16" t="str">
        <x:v>Shoulder comfort</x:v>
      </x:c>
      <x:c r="E14" s="16" t="str">
        <x:v>Greater freedom of movement.</x:v>
      </x:c>
      <x:c r="F14" s="16" t="n">
        <x:v>46222.416666666664</x:v>
      </x:c>
    </x:row>
    <x:row r="15">
      <x:c r="A15" s="16" t="str">
        <x:v>ALT014</x:v>
      </x:c>
      <x:c r="B15" s="16" t="str">
        <x:v>Barbell bench press</x:v>
      </x:c>
      <x:c r="C15" s="16" t="str">
        <x:v>Floor press</x:v>
      </x:c>
      <x:c r="D15" s="16" t="str">
        <x:v>Shoulder range limitation</x:v>
      </x:c>
      <x:c r="E15" s="16" t="str">
        <x:v>Reduced bottom range.</x:v>
      </x:c>
      <x:c r="F15" s="16" t="n">
        <x:v>46222.416666666664</x:v>
      </x:c>
    </x:row>
    <x:row r="16">
      <x:c r="A16" s="16" t="str">
        <x:v>ALT015</x:v>
      </x:c>
      <x:c r="B16" s="16" t="str">
        <x:v>Barbell bench press</x:v>
      </x:c>
      <x:c r="C16" s="16" t="str">
        <x:v>Weighted ring push-up</x:v>
      </x:c>
      <x:c r="D16" s="16" t="str">
        <x:v>Want shoulder-friendly press</x:v>
      </x:c>
      <x:c r="E16" s="16" t="str">
        <x:v>Progress with load/body angle.</x:v>
      </x:c>
      <x:c r="F16" s="16" t="n">
        <x:v>46222.416666666664</x:v>
      </x:c>
    </x:row>
    <x:row r="17">
      <x:c r="A17" s="16" t="str">
        <x:v>ALT016</x:v>
      </x:c>
      <x:c r="B17" s="16" t="str">
        <x:v>Incline dumbbell press</x:v>
      </x:c>
      <x:c r="C17" s="16" t="str">
        <x:v>Dumbbell bench press</x:v>
      </x:c>
      <x:c r="D17" s="16" t="str">
        <x:v>Incline setup unavailable</x:v>
      </x:c>
      <x:c r="E17" s="16" t="str">
        <x:v>Flat press substitute.</x:v>
      </x:c>
      <x:c r="F17" s="16" t="n">
        <x:v>46222.416666666664</x:v>
      </x:c>
    </x:row>
    <x:row r="18">
      <x:c r="A18" s="16" t="str">
        <x:v>ALT017</x:v>
      </x:c>
      <x:c r="B18" s="16" t="str">
        <x:v>Incline dumbbell or seated dumbbell press</x:v>
      </x:c>
      <x:c r="C18" s="16" t="str">
        <x:v>Seated dumbbell overhead press</x:v>
      </x:c>
      <x:c r="D18" s="16" t="str">
        <x:v>Prefer vertical press</x:v>
      </x:c>
      <x:c r="E18" s="16" t="str">
        <x:v>RFL press slot.</x:v>
      </x:c>
      <x:c r="F18" s="16" t="n">
        <x:v>46222.416666666664</x:v>
      </x:c>
    </x:row>
    <x:row r="19">
      <x:c r="A19" s="16" t="str">
        <x:v>ALT018</x:v>
      </x:c>
      <x:c r="B19" s="16" t="str">
        <x:v>Incline dumbbell or seated dumbbell press</x:v>
      </x:c>
      <x:c r="C19" s="16" t="str">
        <x:v>Incline dumbbell press</x:v>
      </x:c>
      <x:c r="D19" s="16" t="str">
        <x:v>Prefer chest emphasis</x:v>
      </x:c>
      <x:c r="E19" s="16" t="str">
        <x:v>RFL press slot.</x:v>
      </x:c>
      <x:c r="F19" s="16" t="n">
        <x:v>46222.416666666664</x:v>
      </x:c>
    </x:row>
    <x:row r="20">
      <x:c r="A20" s="16" t="str">
        <x:v>ALT019</x:v>
      </x:c>
      <x:c r="B20" s="16" t="str">
        <x:v>Chest-supported dumbbell row</x:v>
      </x:c>
      <x:c r="C20" s="16" t="str">
        <x:v>Seated cable row</x:v>
      </x:c>
      <x:c r="D20" s="16" t="str">
        <x:v>Bench unavailable</x:v>
      </x:c>
      <x:c r="E20" s="16" t="str">
        <x:v>Stable cable row.</x:v>
      </x:c>
      <x:c r="F20" s="16" t="n">
        <x:v>46222.416666666664</x:v>
      </x:c>
    </x:row>
    <x:row r="21">
      <x:c r="A21" s="16" t="str">
        <x:v>ALT020</x:v>
      </x:c>
      <x:c r="B21" s="16" t="str">
        <x:v>Chest-supported dumbbell row</x:v>
      </x:c>
      <x:c r="C21" s="16" t="str">
        <x:v>One-arm cable row</x:v>
      </x:c>
      <x:c r="D21" s="16" t="str">
        <x:v>Need unilateral work</x:v>
      </x:c>
      <x:c r="E21" s="16" t="str">
        <x:v>Control torso.</x:v>
      </x:c>
      <x:c r="F21" s="16" t="n">
        <x:v>46222.416666666664</x:v>
      </x:c>
    </x:row>
    <x:row r="22">
      <x:c r="A22" s="16" t="str">
        <x:v>ALT021</x:v>
      </x:c>
      <x:c r="B22" s="16" t="str">
        <x:v>Chest-supported dumbbell row</x:v>
      </x:c>
      <x:c r="C22" s="16" t="str">
        <x:v>Inverted row</x:v>
      </x:c>
      <x:c r="D22" s="16" t="str">
        <x:v>No dumbbell setup</x:v>
      </x:c>
      <x:c r="E22" s="16" t="str">
        <x:v>Bodyweight row.</x:v>
      </x:c>
      <x:c r="F22" s="16" t="n">
        <x:v>46222.416666666664</x:v>
      </x:c>
    </x:row>
    <x:row r="23">
      <x:c r="A23" s="16" t="str">
        <x:v>ALT022</x:v>
      </x:c>
      <x:c r="B23" s="16" t="str">
        <x:v>One-arm cable row</x:v>
      </x:c>
      <x:c r="C23" s="16" t="str">
        <x:v>Seated cable row</x:v>
      </x:c>
      <x:c r="D23" s="16" t="str">
        <x:v>Want bilateral row</x:v>
      </x:c>
      <x:c r="E23" s="16" t="str">
        <x:v>Use cable station.</x:v>
      </x:c>
      <x:c r="F23" s="16" t="n">
        <x:v>46222.416666666664</x:v>
      </x:c>
    </x:row>
    <x:row r="24">
      <x:c r="A24" s="16" t="str">
        <x:v>ALT023</x:v>
      </x:c>
      <x:c r="B24" s="16" t="str">
        <x:v>Weighted chin-up or heavy pulldown</x:v>
      </x:c>
      <x:c r="C24" s="16" t="str">
        <x:v>Cable lat pulldown</x:v>
      </x:c>
      <x:c r="D24" s="16" t="str">
        <x:v>Chin-ups not ready</x:v>
      </x:c>
      <x:c r="E24" s="16" t="str">
        <x:v>Progress load on cable.</x:v>
      </x:c>
      <x:c r="F24" s="16" t="n">
        <x:v>46222.416666666664</x:v>
      </x:c>
    </x:row>
    <x:row r="25">
      <x:c r="A25" s="16" t="str">
        <x:v>ALT024</x:v>
      </x:c>
      <x:c r="B25" s="16" t="str">
        <x:v>Weighted chin-up or heavy pulldown</x:v>
      </x:c>
      <x:c r="C25" s="16" t="str">
        <x:v>Weighted chin-up</x:v>
      </x:c>
      <x:c r="D25" s="16" t="str">
        <x:v>Strong chin-ups</x:v>
      </x:c>
      <x:c r="E25" s="16" t="str">
        <x:v>Use clean reps only.</x:v>
      </x:c>
      <x:c r="F25" s="16" t="n">
        <x:v>46222.416666666664</x:v>
      </x:c>
    </x:row>
    <x:row r="26">
      <x:c r="A26" s="16" t="str">
        <x:v>ALT025</x:v>
      </x:c>
      <x:c r="B26" s="16" t="str">
        <x:v>Cable lat pulldown or ring chin-up</x:v>
      </x:c>
      <x:c r="C26" s="16" t="str">
        <x:v>Cable lat pulldown</x:v>
      </x:c>
      <x:c r="D26" s="16" t="str">
        <x:v>Need stable load</x:v>
      </x:c>
      <x:c r="E26" s="16" t="str">
        <x:v>Good progression.</x:v>
      </x:c>
      <x:c r="F26" s="16" t="n">
        <x:v>46222.416666666664</x:v>
      </x:c>
    </x:row>
    <x:row r="27">
      <x:c r="A27" s="16" t="str">
        <x:v>ALT026</x:v>
      </x:c>
      <x:c r="B27" s="16" t="str">
        <x:v>Cable lat pulldown or ring chin-up</x:v>
      </x:c>
      <x:c r="C27" s="16" t="str">
        <x:v>Ring chin-up</x:v>
      </x:c>
      <x:c r="D27" s="16" t="str">
        <x:v>Want bodyweight progression</x:v>
      </x:c>
      <x:c r="E27" s="16" t="str">
        <x:v>Use assistance as required.</x:v>
      </x:c>
      <x:c r="F27" s="16" t="n">
        <x:v>46222.416666666664</x:v>
      </x:c>
    </x:row>
    <x:row r="28">
      <x:c r="A28" s="16" t="str">
        <x:v>ALT027</x:v>
      </x:c>
      <x:c r="B28" s="16" t="str">
        <x:v>Pulldown or chin-up</x:v>
      </x:c>
      <x:c r="C28" s="16" t="str">
        <x:v>Cable lat pulldown</x:v>
      </x:c>
      <x:c r="D28" s="16" t="str">
        <x:v>RFL fatigue</x:v>
      </x:c>
      <x:c r="E28" s="16" t="str">
        <x:v>Easy load control.</x:v>
      </x:c>
      <x:c r="F28" s="16" t="n">
        <x:v>46222.416666666664</x:v>
      </x:c>
    </x:row>
    <x:row r="29">
      <x:c r="A29" s="16" t="str">
        <x:v>ALT028</x:v>
      </x:c>
      <x:c r="B29" s="16" t="str">
        <x:v>Pulldown or chin-up</x:v>
      </x:c>
      <x:c r="C29" s="16" t="str">
        <x:v>Ring chin-up</x:v>
      </x:c>
      <x:c r="D29" s="16" t="str">
        <x:v>Bodyweight option</x:v>
      </x:c>
      <x:c r="E29" s="16" t="str">
        <x:v>Keep 2-3 RIR in RFL.</x:v>
      </x:c>
      <x:c r="F29" s="16" t="n">
        <x:v>46222.416666666664</x:v>
      </x:c>
    </x:row>
    <x:row r="30">
      <x:c r="A30" s="16" t="str">
        <x:v>ALT029</x:v>
      </x:c>
      <x:c r="B30" s="16" t="str">
        <x:v>Seated dumbbell overhead press</x:v>
      </x:c>
      <x:c r="C30" s="16" t="str">
        <x:v>Incline dumbbell press</x:v>
      </x:c>
      <x:c r="D30" s="16" t="str">
        <x:v>Shoulder irritation</x:v>
      </x:c>
      <x:c r="E30" s="16" t="str">
        <x:v>Use pain-free angle.</x:v>
      </x:c>
      <x:c r="F30" s="16" t="n">
        <x:v>46222.416666666664</x:v>
      </x:c>
    </x:row>
    <x:row r="31">
      <x:c r="A31" s="16" t="str">
        <x:v>ALT030</x:v>
      </x:c>
      <x:c r="B31" s="16" t="str">
        <x:v>Seated dumbbell overhead press</x:v>
      </x:c>
      <x:c r="C31" s="16" t="str">
        <x:v>Standing overhead press</x:v>
      </x:c>
      <x:c r="D31" s="16" t="str">
        <x:v>Want barbell progression</x:v>
      </x:c>
      <x:c r="E31" s="16" t="str">
        <x:v>Only if lower back feels stable.</x:v>
      </x:c>
      <x:c r="F31" s="16" t="n">
        <x:v>46222.416666666664</x:v>
      </x:c>
    </x:row>
    <x:row r="32">
      <x:c r="A32" s="16" t="str">
        <x:v>ALT031</x:v>
      </x:c>
      <x:c r="B32" s="16" t="str">
        <x:v>Cable lateral raise</x:v>
      </x:c>
      <x:c r="C32" s="16" t="str">
        <x:v>Dumbbell lateral raise</x:v>
      </x:c>
      <x:c r="D32" s="16" t="str">
        <x:v>Cable unavailable</x:v>
      </x:c>
      <x:c r="E32" s="16" t="str">
        <x:v>Keep strict and controlled.</x:v>
      </x:c>
      <x:c r="F32" s="16" t="n">
        <x:v>46222.416666666664</x:v>
      </x:c>
    </x:row>
    <x:row r="33">
      <x:c r="A33" s="16" t="str">
        <x:v>ALT032</x:v>
      </x:c>
      <x:c r="B33" s="16" t="str">
        <x:v>Cable lateral raise</x:v>
      </x:c>
      <x:c r="C33" s="16" t="str">
        <x:v>Lean-away cable lateral raise</x:v>
      </x:c>
      <x:c r="D33" s="16" t="str">
        <x:v>Need different line of pull</x:v>
      </x:c>
      <x:c r="E33" s="16" t="str">
        <x:v>Stay light.</x:v>
      </x:c>
      <x:c r="F33" s="16" t="n">
        <x:v>46222.416666666664</x:v>
      </x:c>
    </x:row>
    <x:row r="34">
      <x:c r="A34" s="16" t="str">
        <x:v>ALT033</x:v>
      </x:c>
      <x:c r="B34" s="16" t="str">
        <x:v>Cable rear-delt fly or face pull</x:v>
      </x:c>
      <x:c r="C34" s="16" t="str">
        <x:v>Cable rear-delt fly</x:v>
      </x:c>
      <x:c r="D34" s="16" t="str">
        <x:v>Rear delt emphasis</x:v>
      </x:c>
      <x:c r="E34" s="16" t="str">
        <x:v>Strict reps.</x:v>
      </x:c>
      <x:c r="F34" s="16" t="n">
        <x:v>46222.416666666664</x:v>
      </x:c>
    </x:row>
    <x:row r="35">
      <x:c r="A35" s="16" t="str">
        <x:v>ALT034</x:v>
      </x:c>
      <x:c r="B35" s="16" t="str">
        <x:v>Cable rear-delt fly or face pull</x:v>
      </x:c>
      <x:c r="C35" s="16" t="str">
        <x:v>Face pull</x:v>
      </x:c>
      <x:c r="D35" s="16" t="str">
        <x:v>Shoulder-health emphasis</x:v>
      </x:c>
      <x:c r="E35" s="16" t="str">
        <x:v>Use rope attachment.</x:v>
      </x:c>
      <x:c r="F35" s="16" t="n">
        <x:v>46222.416666666664</x:v>
      </x:c>
    </x:row>
    <x:row r="36">
      <x:c r="A36" s="16" t="str">
        <x:v>ALT035</x:v>
      </x:c>
      <x:c r="B36" s="16" t="str">
        <x:v>Rear-delt cable fly</x:v>
      </x:c>
      <x:c r="C36" s="16" t="str">
        <x:v>Face pull</x:v>
      </x:c>
      <x:c r="D36" s="16" t="str">
        <x:v>Shoulder-friendly substitute</x:v>
      </x:c>
      <x:c r="E36" s="16" t="str">
        <x:v>Keep elbows high.</x:v>
      </x:c>
      <x:c r="F36" s="16" t="n">
        <x:v>46222.416666666664</x:v>
      </x:c>
    </x:row>
    <x:row r="37">
      <x:c r="A37" s="16" t="str">
        <x:v>ALT036</x:v>
      </x:c>
      <x:c r="B37" s="16" t="str">
        <x:v>Cable triceps pushdown</x:v>
      </x:c>
      <x:c r="C37" s="16" t="str">
        <x:v>Overhead cable triceps extension</x:v>
      </x:c>
      <x:c r="D37" s="16" t="str">
        <x:v>Need long-head work</x:v>
      </x:c>
      <x:c r="E37" s="16" t="str">
        <x:v>Use pain-free elbow path.</x:v>
      </x:c>
      <x:c r="F37" s="16" t="n">
        <x:v>46222.416666666664</x:v>
      </x:c>
    </x:row>
    <x:row r="38">
      <x:c r="A38" s="16" t="str">
        <x:v>ALT037</x:v>
      </x:c>
      <x:c r="B38" s="16" t="str">
        <x:v>Overhead cable triceps extension</x:v>
      </x:c>
      <x:c r="C38" s="16" t="str">
        <x:v>Cable triceps pushdown</x:v>
      </x:c>
      <x:c r="D38" s="16" t="str">
        <x:v>Elbow discomfort</x:v>
      </x:c>
      <x:c r="E38" s="16" t="str">
        <x:v>Often more comfortable.</x:v>
      </x:c>
      <x:c r="F38" s="16" t="n">
        <x:v>46222.416666666664</x:v>
      </x:c>
    </x:row>
    <x:row r="39">
      <x:c r="A39" s="16" t="str">
        <x:v>ALT038</x:v>
      </x:c>
      <x:c r="B39" s="16" t="str">
        <x:v>Incline dumbbell or cable curl</x:v>
      </x:c>
      <x:c r="C39" s="16" t="str">
        <x:v>Cable curl</x:v>
      </x:c>
      <x:c r="D39" s="16" t="str">
        <x:v>Elbow-friendly tension</x:v>
      </x:c>
      <x:c r="E39" s="16" t="str">
        <x:v>Good default.</x:v>
      </x:c>
      <x:c r="F39" s="16" t="n">
        <x:v>46222.416666666664</x:v>
      </x:c>
    </x:row>
    <x:row r="40">
      <x:c r="A40" s="16" t="str">
        <x:v>ALT039</x:v>
      </x:c>
      <x:c r="B40" s="16" t="str">
        <x:v>Incline dumbbell or cable curl</x:v>
      </x:c>
      <x:c r="C40" s="16" t="str">
        <x:v>Incline dumbbell curl</x:v>
      </x:c>
      <x:c r="D40" s="16" t="str">
        <x:v>Stretch emphasis</x:v>
      </x:c>
      <x:c r="E40" s="16" t="str">
        <x:v>Use controlled range.</x:v>
      </x:c>
      <x:c r="F40" s="16" t="n">
        <x:v>46222.416666666664</x:v>
      </x:c>
    </x:row>
    <x:row r="41">
      <x:c r="A41" s="16" t="str">
        <x:v>ALT040</x:v>
      </x:c>
      <x:c r="B41" s="16" t="str">
        <x:v>Dumbbell hammer curl</x:v>
      </x:c>
      <x:c r="C41" s="16" t="str">
        <x:v>Cable curl</x:v>
      </x:c>
      <x:c r="D41" s="16" t="str">
        <x:v>Elbow discomfort</x:v>
      </x:c>
      <x:c r="E41" s="16" t="str">
        <x:v>Cable may feel smoother.</x:v>
      </x:c>
      <x:c r="F41" s="16" t="n">
        <x:v>46222.416666666664</x:v>
      </x:c>
    </x:row>
    <x:row r="42">
      <x:c r="A42" s="16" t="str">
        <x:v>ALT041</x:v>
      </x:c>
      <x:c r="B42" s="16" t="str">
        <x:v>Dead bug or Pallof press</x:v>
      </x:c>
      <x:c r="C42" s="16" t="str">
        <x:v>Dead bug</x:v>
      </x:c>
      <x:c r="D42" s="16" t="str">
        <x:v>No cable needed</x:v>
      </x:c>
      <x:c r="E42" s="16" t="str">
        <x:v>Low fatigue core.</x:v>
      </x:c>
      <x:c r="F42" s="16" t="n">
        <x:v>46222.416666666664</x:v>
      </x:c>
    </x:row>
    <x:row r="43">
      <x:c r="A43" s="16" t="str">
        <x:v>ALT042</x:v>
      </x:c>
      <x:c r="B43" s="16" t="str">
        <x:v>Dead bug or Pallof press</x:v>
      </x:c>
      <x:c r="C43" s="16" t="str">
        <x:v>Pallof press</x:v>
      </x:c>
      <x:c r="D43" s="16" t="str">
        <x:v>Anti-rotation focus</x:v>
      </x:c>
      <x:c r="E43" s="16" t="str">
        <x:v>Cable setup.</x:v>
      </x:c>
      <x:c r="F43" s="16" t="n">
        <x:v>46222.416666666664</x:v>
      </x:c>
    </x:row>
    <x:row r="44">
      <x:c r="A44" s="16" t="str">
        <x:v>ALT043</x:v>
      </x:c>
      <x:c r="B44" s="16" t="str">
        <x:v>Ab wheel or cable crunch</x:v>
      </x:c>
      <x:c r="C44" s="16" t="str">
        <x:v>Cable crunch</x:v>
      </x:c>
      <x:c r="D44" s="16" t="str">
        <x:v>Lower back sensitivity</x:v>
      </x:c>
      <x:c r="E44" s="16" t="str">
        <x:v>Easier to control.</x:v>
      </x:c>
      <x:c r="F44" s="16" t="n">
        <x:v>46222.416666666664</x:v>
      </x:c>
    </x:row>
    <x:row r="45">
      <x:c r="A45" s="16" t="str">
        <x:v>ALT044</x:v>
      </x:c>
      <x:c r="B45" s="16" t="str">
        <x:v>Ab wheel or cable crunch</x:v>
      </x:c>
      <x:c r="C45" s="16" t="str">
        <x:v>Dead bug</x:v>
      </x:c>
      <x:c r="D45" s="16" t="str">
        <x:v>Fatigued RFL day</x:v>
      </x:c>
      <x:c r="E45" s="16" t="str">
        <x:v>Lowest-risk option.</x:v>
      </x:c>
      <x:c r="F45" s="16" t="n">
        <x:v>46222.416666666664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6.630000114440918" hidden="0" customWidth="1"/>
    <x:col min="7" max="7" width="4.630000114440918" hidden="0" customWidth="1"/>
    <x:col min="8" max="8" width="24" hidden="0" customWidth="1"/>
    <x:col min="9" max="9" width="10.25" hidden="0" customWidth="1"/>
    <x:col min="17" max="17" width="24" hidden="0" customWidth="1"/>
    <x:col min="18" max="18" width="24" hidden="0" customWidth="1"/>
  </x:cols>
  <x:sheetData>
    <x:row r="1" ht="30" customHeight="1">
      <x:c r="A1" s="22" t="str">
        <x:v>IngredientID</x:v>
      </x:c>
      <x:c r="B1" s="22" t="str">
        <x:v>IngredientName</x:v>
      </x:c>
      <x:c r="C1" s="22" t="str">
        <x:v>ServingDescription</x:v>
      </x:c>
      <x:c r="D1" s="22" t="str">
        <x:v>kcal</x:v>
      </x:c>
      <x:c r="E1" s="22" t="str">
        <x:v>Protein_g</x:v>
      </x:c>
      <x:c r="F1" s="22" t="str">
        <x:v>Carbs_g</x:v>
      </x:c>
      <x:c r="G1" s="22" t="str">
        <x:v>Fat_g</x:v>
      </x:c>
      <x:c r="H1" s="22" t="str">
        <x:v>Notes</x:v>
      </x:c>
      <x:c r="I1" s="22" t="str">
        <x:v>UpdatedAt</x:v>
      </x:c>
    </x:row>
    <x:row r="2">
      <x:c r="A2" s="16" t="str">
        <x:v>ING001</x:v>
      </x:c>
      <x:c r="B2" s="16" t="str">
        <x:v>Chicken breast</x:v>
      </x:c>
      <x:c r="C2" s="16" t="str">
        <x:v>100 g cooked</x:v>
      </x:c>
      <x:c r="D2" s="16" t="n">
        <x:v>165</x:v>
      </x:c>
      <x:c r="E2" s="16" t="n">
        <x:v>31</x:v>
      </x:c>
      <x:c r="F2" s="16" t="n">
        <x:v>0</x:v>
      </x:c>
      <x:c r="G2" s="16" t="n">
        <x:v>3.6</x:v>
      </x:c>
      <x:c r="H2" s="16" t="str">
        <x:v>Example only; replace with your package/cooked-weight values.</x:v>
      </x:c>
      <x:c r="I2" s="16" t="n">
        <x:v>46222.416666666664</x:v>
      </x:c>
    </x:row>
    <x:row r="3">
      <x:c r="A3" s="16" t="str">
        <x:v>ING002</x:v>
      </x:c>
      <x:c r="B3" s="16" t="str">
        <x:v>0% Greek yoghurt</x:v>
      </x:c>
      <x:c r="C3" s="16" t="str">
        <x:v>100 g</x:v>
      </x:c>
      <x:c r="D3" s="16" t="n">
        <x:v>59</x:v>
      </x:c>
      <x:c r="E3" s="16" t="n">
        <x:v>10.3</x:v>
      </x:c>
      <x:c r="F3" s="16" t="n">
        <x:v>3.6</x:v>
      </x:c>
      <x:c r="G3" s="16" t="n">
        <x:v>0.4</x:v>
      </x:c>
      <x:c r="H3" s="16" t="str">
        <x:v>Example only; brands vary.</x:v>
      </x:c>
      <x:c r="I3" s="16" t="n">
        <x:v>46222.416666666664</x:v>
      </x:c>
    </x:row>
    <x:row r="4">
      <x:c r="A4" s="16" t="str">
        <x:v>ING003</x:v>
      </x:c>
      <x:c r="B4" s="16" t="str">
        <x:v>Whey protein</x:v>
      </x:c>
      <x:c r="C4" s="16" t="str">
        <x:v>30 g scoop</x:v>
      </x:c>
      <x:c r="D4" s="16" t="n">
        <x:v>120</x:v>
      </x:c>
      <x:c r="E4" s="16" t="n">
        <x:v>24</x:v>
      </x:c>
      <x:c r="F4" s="16" t="n">
        <x:v>3</x:v>
      </x:c>
      <x:c r="G4" s="16" t="n">
        <x:v>2</x:v>
      </x:c>
      <x:c r="H4" s="16" t="str">
        <x:v>Use the exact label values.</x:v>
      </x:c>
      <x:c r="I4" s="16" t="n">
        <x:v>46222.416666666664</x:v>
      </x:c>
    </x:row>
    <x:row r="5">
      <x:c r="A5" s="16" t="str">
        <x:v>ING004</x:v>
      </x:c>
      <x:c r="B5" s="16" t="str">
        <x:v>Egg whites</x:v>
      </x:c>
      <x:c r="C5" s="16" t="str">
        <x:v>100 g</x:v>
      </x:c>
      <x:c r="D5" s="16" t="n">
        <x:v>52</x:v>
      </x:c>
      <x:c r="E5" s="16" t="n">
        <x:v>10.9</x:v>
      </x:c>
      <x:c r="F5" s="16" t="n">
        <x:v>0.7</x:v>
      </x:c>
      <x:c r="G5" s="16" t="n">
        <x:v>0.2</x:v>
      </x:c>
      <x:c r="H5" s="16" t="str">
        <x:v>Example only.</x:v>
      </x:c>
      <x:c r="I5" s="16" t="n">
        <x:v>46222.416666666664</x:v>
      </x:c>
    </x:row>
    <x:row r="6">
      <x:c r="A6" s="16" t="str">
        <x:v>ING005</x:v>
      </x:c>
      <x:c r="B6" s="16" t="str">
        <x:v>Cooked white rice</x:v>
      </x:c>
      <x:c r="C6" s="16" t="str">
        <x:v>100 g</x:v>
      </x:c>
      <x:c r="D6" s="16" t="n">
        <x:v>130</x:v>
      </x:c>
      <x:c r="E6" s="16" t="n">
        <x:v>2.4</x:v>
      </x:c>
      <x:c r="F6" s="16" t="n">
        <x:v>28.2</x:v>
      </x:c>
      <x:c r="G6" s="16" t="n">
        <x:v>0.3</x:v>
      </x:c>
      <x:c r="H6" s="16" t="str">
        <x:v>Cooked weight; example only.</x:v>
      </x:c>
      <x:c r="I6" s="16" t="n">
        <x:v>46222.416666666664</x:v>
      </x:c>
    </x:row>
    <x:row r="7">
      <x:c r="A7" s="16" t="str">
        <x:v>ING006</x:v>
      </x:c>
      <x:c r="B7" s="16" t="str">
        <x:v>Boiled potato</x:v>
      </x:c>
      <x:c r="C7" s="16" t="str">
        <x:v>100 g</x:v>
      </x:c>
      <x:c r="D7" s="16" t="n">
        <x:v>87</x:v>
      </x:c>
      <x:c r="E7" s="16" t="n">
        <x:v>1.9</x:v>
      </x:c>
      <x:c r="F7" s="16" t="n">
        <x:v>20.1</x:v>
      </x:c>
      <x:c r="G7" s="16" t="n">
        <x:v>0.1</x:v>
      </x:c>
      <x:c r="H7" s="16" t="str">
        <x:v>Example only.</x:v>
      </x:c>
      <x:c r="I7" s="16" t="n">
        <x:v>46222.416666666664</x:v>
      </x:c>
    </x:row>
    <x:row r="8">
      <x:c r="A8" s="16" t="str">
        <x:v>ING007</x:v>
      </x:c>
      <x:c r="B8" s="16" t="str">
        <x:v>Tuna in water, drained</x:v>
      </x:c>
      <x:c r="C8" s="16" t="str">
        <x:v>100 g</x:v>
      </x:c>
      <x:c r="D8" s="16" t="n">
        <x:v>116</x:v>
      </x:c>
      <x:c r="E8" s="16" t="n">
        <x:v>25.5</x:v>
      </x:c>
      <x:c r="F8" s="16" t="n">
        <x:v>0</x:v>
      </x:c>
      <x:c r="G8" s="16" t="n">
        <x:v>0.8</x:v>
      </x:c>
      <x:c r="H8" s="16" t="str">
        <x:v>Check the can label.</x:v>
      </x:c>
      <x:c r="I8" s="16" t="n">
        <x:v>46222.416666666664</x:v>
      </x:c>
    </x:row>
    <x:row r="9">
      <x:c r="A9" s="16" t="str">
        <x:v>ING008</x:v>
      </x:c>
      <x:c r="B9" s="16" t="str">
        <x:v>Low-fat cottage cheese</x:v>
      </x:c>
      <x:c r="C9" s="16" t="str">
        <x:v>100 g</x:v>
      </x:c>
      <x:c r="D9" s="16" t="n">
        <x:v>82</x:v>
      </x:c>
      <x:c r="E9" s="16" t="n">
        <x:v>11.1</x:v>
      </x:c>
      <x:c r="F9" s="16" t="n">
        <x:v>3.4</x:v>
      </x:c>
      <x:c r="G9" s="16" t="n">
        <x:v>2.3</x:v>
      </x:c>
      <x:c r="H9" s="16" t="str">
        <x:v>Brands vary.</x:v>
      </x:c>
      <x:c r="I9" s="16" t="n">
        <x:v>46222.416666666664</x:v>
      </x:c>
    </x:row>
    <x:row r="10">
      <x:c r="A10" s="16" t="str">
        <x:v>ING009</x:v>
      </x:c>
      <x:c r="B10" s="16" t="str">
        <x:v>Lean turkey mince</x:v>
      </x:c>
      <x:c r="C10" s="16" t="str">
        <x:v>100 g</x:v>
      </x:c>
      <x:c r="D10" s="16" t="n">
        <x:v>145</x:v>
      </x:c>
      <x:c r="E10" s="16" t="n">
        <x:v>21</x:v>
      </x:c>
      <x:c r="F10" s="16" t="n">
        <x:v>0</x:v>
      </x:c>
      <x:c r="G10" s="16" t="n">
        <x:v>6</x:v>
      </x:c>
      <x:c r="H10" s="16" t="str">
        <x:v>Use your package values.</x:v>
      </x:c>
      <x:c r="I10" s="16" t="n">
        <x:v>46222.416666666664</x:v>
      </x:c>
    </x:row>
    <x:row r="11">
      <x:c r="A11" s="16" t="str">
        <x:v>ING010</x:v>
      </x:c>
      <x:c r="B11" s="16" t="str">
        <x:v>Courgette</x:v>
      </x:c>
      <x:c r="C11" s="16" t="str">
        <x:v>100 g</x:v>
      </x:c>
      <x:c r="D11" s="16" t="n">
        <x:v>17</x:v>
      </x:c>
      <x:c r="E11" s="16" t="n">
        <x:v>1.2</x:v>
      </x:c>
      <x:c r="F11" s="16" t="n">
        <x:v>3.1</x:v>
      </x:c>
      <x:c r="G11" s="16" t="n">
        <x:v>0.3</x:v>
      </x:c>
      <x:c r="H11" s="16" t="str">
        <x:v>Example only.</x:v>
      </x:c>
      <x:c r="I11" s="16" t="n">
        <x:v>46222.416666666664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2.5" hidden="0" customWidth="1"/>
    <x:col min="7" max="7" width="11.25" hidden="0" customWidth="1"/>
    <x:col min="8" max="8" width="24" hidden="0" customWidth="1"/>
    <x:col min="9" max="9" width="13.380000114440918" hidden="0" customWidth="1"/>
    <x:col min="10" max="10" width="16" hidden="0" customWidth="1"/>
    <x:col min="11" max="11" width="14.630000114440918" hidden="0" customWidth="1"/>
    <x:col min="12" max="12" width="12.75" hidden="0" customWidth="1"/>
    <x:col min="13" max="13" width="10.25" hidden="0" customWidth="1"/>
    <x:col min="14" max="14" width="7.630000114440918" hidden="0" customWidth="1"/>
    <x:col min="15" max="15" width="13.5" hidden="0" customWidth="1"/>
    <x:col min="16" max="16" width="10.130000114440918" hidden="0" customWidth="1"/>
    <x:col min="17" max="17" width="24" hidden="0" customWidth="1"/>
    <x:col min="18" max="18" width="24" hidden="0" customWidth="1"/>
    <x:col min="19" max="19" width="10.25" hidden="0" customWidth="1"/>
  </x:cols>
  <x:sheetData>
    <x:row r="1" ht="30" customHeight="1">
      <x:c r="A1" s="22" t="str">
        <x:v>RecipeID</x:v>
      </x:c>
      <x:c r="B1" s="22" t="str">
        <x:v>RecipeName</x:v>
      </x:c>
      <x:c r="C1" s="22" t="str">
        <x:v>Category</x:v>
      </x:c>
      <x:c r="D1" s="22" t="str">
        <x:v>Servings</x:v>
      </x:c>
      <x:c r="E1" s="22" t="str">
        <x:v>Total_kcal</x:v>
      </x:c>
      <x:c r="F1" s="22" t="str">
        <x:v>Total_Protein_g</x:v>
      </x:c>
      <x:c r="G1" s="22" t="str">
        <x:v>Total_Carbs_g</x:v>
      </x:c>
      <x:c r="H1" s="22" t="str">
        <x:v>Total_Fat_g</x:v>
      </x:c>
      <x:c r="I1" s="22" t="str">
        <x:v>kcal_per_serving</x:v>
      </x:c>
      <x:c r="J1" s="22" t="str">
        <x:v>Protein_per_serving</x:v>
      </x:c>
      <x:c r="K1" s="22" t="str">
        <x:v>Carbs_per_serving</x:v>
      </x:c>
      <x:c r="L1" s="22" t="str">
        <x:v>Fat_per_serving</x:v>
      </x:c>
      <x:c r="M1" s="22" t="str">
        <x:v>RFL_Friendly</x:v>
      </x:c>
      <x:c r="N1" s="22" t="str">
        <x:v>Favourite</x:v>
      </x:c>
      <x:c r="O1" s="22" t="str">
        <x:v>No_Bell_Peppers</x:v>
      </x:c>
      <x:c r="P1" s="22" t="str">
        <x:v>No_Shellfish</x:v>
      </x:c>
      <x:c r="Q1" s="22" t="str">
        <x:v>Instructions</x:v>
      </x:c>
      <x:c r="R1" s="22" t="str">
        <x:v>Notes</x:v>
      </x:c>
      <x:c r="S1" s="22" t="str">
        <x:v>UpdatedAt</x:v>
      </x:c>
    </x:row>
    <x:row r="2">
      <x:c r="A2" s="16" t="str">
        <x:v>RCP001</x:v>
      </x:c>
      <x:c r="B2" s="16" t="str">
        <x:v>Chicken courgette rice bowl</x:v>
      </x:c>
      <x:c r="C2" s="16" t="str">
        <x:v>Normal cut</x:v>
      </x:c>
      <x:c r="D2" s="46" t="n">
        <x:v>2</x:v>
      </x:c>
      <x:c r="E2" s="46" t="n">
        <x:v>780</x:v>
      </x:c>
      <x:c r="F2" s="46" t="n">
        <x:v>92</x:v>
      </x:c>
      <x:c r="G2" s="46" t="n">
        <x:v>72</x:v>
      </x:c>
      <x:c r="H2" s="46" t="n">
        <x:v>14</x:v>
      </x:c>
      <x:c r="I2" s="46" t="n">
        <x:f>IFERROR(E2/D2,"")</x:f>
        <x:v>390</x:v>
      </x:c>
      <x:c r="J2" s="46" t="n">
        <x:f>IFERROR(F2/D2,"")</x:f>
        <x:v>46</x:v>
      </x:c>
      <x:c r="K2" s="46" t="n">
        <x:f>IFERROR(G2/D2,"")</x:f>
        <x:v>36</x:v>
      </x:c>
      <x:c r="L2" s="46" t="n">
        <x:f>IFERROR(H2/D2,"")</x:f>
        <x:v>7</x:v>
      </x:c>
      <x:c r="M2" s="16" t="str">
        <x:v>No</x:v>
      </x:c>
      <x:c r="N2" s="42" t="b">
        <x:v>0</x:v>
      </x:c>
      <x:c r="O2" s="16" t="str">
        <x:v>Yes</x:v>
      </x:c>
      <x:c r="P2" s="16" t="str">
        <x:v>Yes</x:v>
      </x:c>
      <x:c r="Q2" s="16" t="str"/>
      <x:c r="R2" s="16" t="str">
        <x:v>Example values only. No bell peppers; adjust to your ingredients.</x:v>
      </x:c>
      <x:c r="S2" s="16" t="n">
        <x:v>46222.416666666664</x:v>
      </x:c>
    </x:row>
    <x:row r="3">
      <x:c r="A3" s="16" t="str">
        <x:v>RCP002</x:v>
      </x:c>
      <x:c r="B3" s="16" t="str">
        <x:v>Greek yoghurt whey bowl</x:v>
      </x:c>
      <x:c r="C3" s="16" t="str">
        <x:v>High protein</x:v>
      </x:c>
      <x:c r="D3" s="46" t="n">
        <x:v>1</x:v>
      </x:c>
      <x:c r="E3" s="46" t="n">
        <x:v>410</x:v>
      </x:c>
      <x:c r="F3" s="46" t="n">
        <x:v>55</x:v>
      </x:c>
      <x:c r="G3" s="46" t="n">
        <x:v>32</x:v>
      </x:c>
      <x:c r="H3" s="46" t="n">
        <x:v>6</x:v>
      </x:c>
      <x:c r="I3" s="46" t="n">
        <x:f>IFERROR(E3/D3,"")</x:f>
        <x:v>410</x:v>
      </x:c>
      <x:c r="J3" s="46" t="n">
        <x:f>IFERROR(F3/D3,"")</x:f>
        <x:v>55</x:v>
      </x:c>
      <x:c r="K3" s="46" t="n">
        <x:f>IFERROR(G3/D3,"")</x:f>
        <x:v>32</x:v>
      </x:c>
      <x:c r="L3" s="46" t="n">
        <x:f>IFERROR(H3/D3,"")</x:f>
        <x:v>6</x:v>
      </x:c>
      <x:c r="M3" s="16" t="str">
        <x:v>Yes</x:v>
      </x:c>
      <x:c r="N3" s="42" t="b">
        <x:v>1</x:v>
      </x:c>
      <x:c r="O3" s="16" t="str">
        <x:v>Yes</x:v>
      </x:c>
      <x:c r="P3" s="16" t="str">
        <x:v>Yes</x:v>
      </x:c>
      <x:c r="Q3" s="16" t="str"/>
      <x:c r="R3" s="16" t="str">
        <x:v>Good quick protein option; use exact label values.</x:v>
      </x:c>
      <x:c r="S3" s="16" t="n">
        <x:v>46222.416666666664</x:v>
      </x:c>
    </x:row>
    <x:row r="4">
      <x:c r="A4" s="16" t="str">
        <x:v>RCP003</x:v>
      </x:c>
      <x:c r="B4" s="16" t="str">
        <x:v>Egg-white spinach omelette</x:v>
      </x:c>
      <x:c r="C4" s="16" t="str">
        <x:v>RFL-friendly</x:v>
      </x:c>
      <x:c r="D4" s="46" t="n">
        <x:v>1</x:v>
      </x:c>
      <x:c r="E4" s="46" t="n">
        <x:v>260</x:v>
      </x:c>
      <x:c r="F4" s="46" t="n">
        <x:v>42</x:v>
      </x:c>
      <x:c r="G4" s="46" t="n">
        <x:v>8</x:v>
      </x:c>
      <x:c r="H4" s="46" t="n">
        <x:v>6</x:v>
      </x:c>
      <x:c r="I4" s="46" t="n">
        <x:f>IFERROR(E4/D4,"")</x:f>
        <x:v>260</x:v>
      </x:c>
      <x:c r="J4" s="46" t="n">
        <x:f>IFERROR(F4/D4,"")</x:f>
        <x:v>42</x:v>
      </x:c>
      <x:c r="K4" s="46" t="n">
        <x:f>IFERROR(G4/D4,"")</x:f>
        <x:v>8</x:v>
      </x:c>
      <x:c r="L4" s="46" t="n">
        <x:f>IFERROR(H4/D4,"")</x:f>
        <x:v>6</x:v>
      </x:c>
      <x:c r="M4" s="16" t="str">
        <x:v>Yes</x:v>
      </x:c>
      <x:c r="N4" s="42" t="b">
        <x:v>1</x:v>
      </x:c>
      <x:c r="O4" s="16" t="str">
        <x:v>Yes</x:v>
      </x:c>
      <x:c r="P4" s="16" t="str">
        <x:v>Yes</x:v>
      </x:c>
      <x:c r="Q4" s="16" t="str"/>
      <x:c r="R4" s="16" t="str">
        <x:v>Use herbs, spinach, mushrooms; avoid bell peppers.</x:v>
      </x:c>
      <x:c r="S4" s="16" t="n">
        <x:v>46222.416666666664</x:v>
      </x:c>
    </x:row>
    <x:row r="5">
      <x:c r="A5" s="16" t="str">
        <x:v>RCP004</x:v>
      </x:c>
      <x:c r="B5" s="16" t="str">
        <x:v>Lean turkey tomato mince</x:v>
      </x:c>
      <x:c r="C5" s="16" t="str">
        <x:v>Batch cook</x:v>
      </x:c>
      <x:c r="D5" s="46" t="n">
        <x:v>4</x:v>
      </x:c>
      <x:c r="E5" s="46" t="n">
        <x:v>1280</x:v>
      </x:c>
      <x:c r="F5" s="46" t="n">
        <x:v>156</x:v>
      </x:c>
      <x:c r="G5" s="46" t="n">
        <x:v>64</x:v>
      </x:c>
      <x:c r="H5" s="46" t="n">
        <x:v>36</x:v>
      </x:c>
      <x:c r="I5" s="46" t="n">
        <x:f>IFERROR(E5/D5,"")</x:f>
        <x:v>320</x:v>
      </x:c>
      <x:c r="J5" s="46" t="n">
        <x:f>IFERROR(F5/D5,"")</x:f>
        <x:v>39</x:v>
      </x:c>
      <x:c r="K5" s="46" t="n">
        <x:f>IFERROR(G5/D5,"")</x:f>
        <x:v>16</x:v>
      </x:c>
      <x:c r="L5" s="46" t="n">
        <x:f>IFERROR(H5/D5,"")</x:f>
        <x:v>9</x:v>
      </x:c>
      <x:c r="M5" s="16" t="str">
        <x:v>Maybe</x:v>
      </x:c>
      <x:c r="N5" s="42" t="b">
        <x:v>0</x:v>
      </x:c>
      <x:c r="O5" s="16" t="str">
        <x:v>Yes</x:v>
      </x:c>
      <x:c r="P5" s="16" t="str">
        <x:v>Yes</x:v>
      </x:c>
      <x:c r="Q5" s="16" t="str"/>
      <x:c r="R5" s="16" t="str">
        <x:v>Serve with rice/potatoes outside RFL or vegetables during RFL.</x:v>
      </x:c>
      <x:c r="S5" s="16" t="n">
        <x:v>46222.416666666664</x:v>
      </x:c>
    </x:row>
    <x:row r="6">
      <x:c r="A6" s="16" t="str">
        <x:v>RCP005</x:v>
      </x:c>
      <x:c r="B6" s="16" t="str">
        <x:v>Tuna potato salad</x:v>
      </x:c>
      <x:c r="C6" s="16" t="str">
        <x:v>Normal cut</x:v>
      </x:c>
      <x:c r="D6" s="46" t="n">
        <x:v>2</x:v>
      </x:c>
      <x:c r="E6" s="46" t="n">
        <x:v>650</x:v>
      </x:c>
      <x:c r="F6" s="46" t="n">
        <x:v>62</x:v>
      </x:c>
      <x:c r="G6" s="46" t="n">
        <x:v>82</x:v>
      </x:c>
      <x:c r="H6" s="46" t="n">
        <x:v>8</x:v>
      </x:c>
      <x:c r="I6" s="46" t="n">
        <x:f>IFERROR(E6/D6,"")</x:f>
        <x:v>325</x:v>
      </x:c>
      <x:c r="J6" s="46" t="n">
        <x:f>IFERROR(F6/D6,"")</x:f>
        <x:v>31</x:v>
      </x:c>
      <x:c r="K6" s="46" t="n">
        <x:f>IFERROR(G6/D6,"")</x:f>
        <x:v>41</x:v>
      </x:c>
      <x:c r="L6" s="46" t="n">
        <x:f>IFERROR(H6/D6,"")</x:f>
        <x:v>4</x:v>
      </x:c>
      <x:c r="M6" s="16" t="str">
        <x:v>No</x:v>
      </x:c>
      <x:c r="N6" s="42" t="b">
        <x:v>0</x:v>
      </x:c>
      <x:c r="O6" s="16" t="str">
        <x:v>Yes</x:v>
      </x:c>
      <x:c r="P6" s="16" t="str">
        <x:v>Yes</x:v>
      </x:c>
      <x:c r="Q6" s="16" t="str"/>
      <x:c r="R6" s="16" t="str">
        <x:v>Tuna is not shellfish; avoid mayo-heavy versions.</x:v>
      </x:c>
      <x:c r="S6" s="16" t="n">
        <x:v>46222.416666666664</x:v>
      </x:c>
    </x:row>
    <x:row r="7">
      <x:c r="A7" s="16" t="str">
        <x:v>RCP006</x:v>
      </x:c>
      <x:c r="B7" s="16" t="str">
        <x:v>Cottage cheese chicken salad</x:v>
      </x:c>
      <x:c r="C7" s="16" t="str">
        <x:v>RFL-friendly</x:v>
      </x:c>
      <x:c r="D7" s="46" t="n">
        <x:v>1</x:v>
      </x:c>
      <x:c r="E7" s="46" t="n">
        <x:v>360</x:v>
      </x:c>
      <x:c r="F7" s="46" t="n">
        <x:v>60</x:v>
      </x:c>
      <x:c r="G7" s="46" t="n">
        <x:v>14</x:v>
      </x:c>
      <x:c r="H7" s="46" t="n">
        <x:v>7</x:v>
      </x:c>
      <x:c r="I7" s="46" t="n">
        <x:f>IFERROR(E7/D7,"")</x:f>
        <x:v>360</x:v>
      </x:c>
      <x:c r="J7" s="46" t="n">
        <x:f>IFERROR(F7/D7,"")</x:f>
        <x:v>60</x:v>
      </x:c>
      <x:c r="K7" s="46" t="n">
        <x:f>IFERROR(G7/D7,"")</x:f>
        <x:v>14</x:v>
      </x:c>
      <x:c r="L7" s="46" t="n">
        <x:f>IFERROR(H7/D7,"")</x:f>
        <x:v>7</x:v>
      </x:c>
      <x:c r="M7" s="16" t="str">
        <x:v>Yes</x:v>
      </x:c>
      <x:c r="N7" s="42" t="b">
        <x:v>1</x:v>
      </x:c>
      <x:c r="O7" s="16" t="str">
        <x:v>Yes</x:v>
      </x:c>
      <x:c r="P7" s="16" t="str">
        <x:v>Yes</x:v>
      </x:c>
      <x:c r="Q7" s="16" t="str"/>
      <x:c r="R7" s="16" t="str">
        <x:v>Use cucumber, lettuce, tomato; no bell peppers.</x:v>
      </x:c>
      <x:c r="S7" s="16" t="n">
        <x:v>46222.416666666664</x:v>
      </x:c>
    </x:row>
  </x:sheetData>
  <x:conditionalFormatting sqref="M2:M1000">
    <x:cfRule type="expression" dxfId="0" priority="1">
      <x:formula>M2="Yes"</x:formula>
    </x:cfRule>
  </x:conditionalFormatting>
  <x:dataValidations count="1">
    <x:dataValidation type="list" sqref="M2:M1000">
      <x:formula1>"Yes,Maybe,No"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.880000114440918" hidden="0" customWidth="1"/>
    <x:col min="7" max="7" width="3.5" hidden="0" customWidth="1"/>
    <x:col min="8" max="8" width="24" hidden="0" customWidth="1"/>
    <x:col min="9" max="9" width="6.630000114440918" hidden="0" customWidth="1"/>
    <x:col min="10" max="10" width="4.630000114440918" hidden="0" customWidth="1"/>
    <x:col min="11" max="11" width="5" hidden="0" customWidth="1"/>
    <x:col min="12" max="12" width="8.880000114440918" hidden="0" customWidth="1"/>
    <x:col min="17" max="17" width="24" hidden="0" customWidth="1"/>
    <x:col min="18" max="18" width="24" hidden="0" customWidth="1"/>
  </x:cols>
  <x:sheetData>
    <x:row r="1" ht="30" customHeight="1">
      <x:c r="A1" s="22" t="str">
        <x:v>IngredientRowID</x:v>
      </x:c>
      <x:c r="B1" s="22" t="str">
        <x:v>RecipeID</x:v>
      </x:c>
      <x:c r="C1" s="22" t="str">
        <x:v>IngredientID</x:v>
      </x:c>
      <x:c r="D1" s="22" t="str">
        <x:v>IngredientName</x:v>
      </x:c>
      <x:c r="E1" s="22" t="str">
        <x:v>Amount</x:v>
      </x:c>
      <x:c r="F1" s="22" t="str">
        <x:v>Unit</x:v>
      </x:c>
      <x:c r="G1" s="22" t="str">
        <x:v>kcal</x:v>
      </x:c>
      <x:c r="H1" s="22" t="str">
        <x:v>Protein_g</x:v>
      </x:c>
      <x:c r="I1" s="22" t="str">
        <x:v>Carbs_g</x:v>
      </x:c>
      <x:c r="J1" s="22" t="str">
        <x:v>Fat_g</x:v>
      </x:c>
      <x:c r="K1" s="22" t="str">
        <x:v>Notes</x:v>
      </x:c>
      <x:c r="L1" s="22" t="str">
        <x:v>UpdatedAt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  <x:col min="13" max="13" width="15" hidden="0" customWidth="1"/>
  </x:cols>
  <x:sheetData>
    <x:row r="1" ht="30" customHeight="1">
      <x:c r="A1" s="22" t="str">
        <x:v>SessionLogID</x:v>
      </x:c>
      <x:c r="B1" s="48" t="str">
        <x:v>Date</x:v>
      </x:c>
      <x:c r="C1" s="22" t="str">
        <x:v>ProgramID</x:v>
      </x:c>
      <x:c r="D1" s="22" t="str">
        <x:v>ProgramName</x:v>
      </x:c>
      <x:c r="E1" s="22" t="str">
        <x:v>SessionID</x:v>
      </x:c>
      <x:c r="F1" s="22" t="str">
        <x:v>SessionName</x:v>
      </x:c>
      <x:c r="G1" s="22" t="str">
        <x:v>StartTime</x:v>
      </x:c>
      <x:c r="H1" s="22" t="str">
        <x:v>EndTime</x:v>
      </x:c>
      <x:c r="I1" s="22" t="str">
        <x:v>DurationMin</x:v>
      </x:c>
      <x:c r="J1" s="22" t="str">
        <x:v>BodyWeightKg</x:v>
      </x:c>
      <x:c r="K1" s="22" t="str">
        <x:v>Notes</x:v>
      </x:c>
      <x:c r="L1" s="22" t="str">
        <x:v>Completed</x:v>
      </x:c>
      <x:c r="M1" s="22" t="str">
        <x:v>UpdatedAt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  <x:col min="13" max="13" width="15" hidden="0" customWidth="1"/>
    <x:col min="14" max="14" width="15" hidden="0" customWidth="1"/>
    <x:col min="15" max="15" width="15" hidden="0" customWidth="1"/>
    <x:col min="16" max="16" width="24" hidden="0" customWidth="1"/>
    <x:col min="17" max="17" width="15" hidden="0" customWidth="1"/>
  </x:cols>
  <x:sheetData>
    <x:row r="1" ht="30" customHeight="1">
      <x:c r="A1" s="22" t="str">
        <x:v>SetLogID</x:v>
      </x:c>
      <x:c r="B1" s="22" t="str">
        <x:v>SessionLogID</x:v>
      </x:c>
      <x:c r="C1" s="48" t="str">
        <x:v>Date</x:v>
      </x:c>
      <x:c r="D1" s="22" t="str">
        <x:v>ProgramID</x:v>
      </x:c>
      <x:c r="E1" s="22" t="str">
        <x:v>SessionName</x:v>
      </x:c>
      <x:c r="F1" s="22" t="str">
        <x:v>ExerciseID</x:v>
      </x:c>
      <x:c r="G1" s="22" t="str">
        <x:v>Exercise</x:v>
      </x:c>
      <x:c r="H1" s="22" t="str">
        <x:v>SetNo</x:v>
      </x:c>
      <x:c r="I1" s="22" t="str">
        <x:v>Warmup</x:v>
      </x:c>
      <x:c r="J1" s="22" t="str">
        <x:v>WeightKg</x:v>
      </x:c>
      <x:c r="K1" s="22" t="str">
        <x:v>Reps</x:v>
      </x:c>
      <x:c r="L1" s="22" t="str">
        <x:v>RIR</x:v>
      </x:c>
      <x:c r="M1" s="22" t="str">
        <x:v>RestSec</x:v>
      </x:c>
      <x:c r="N1" s="22" t="str">
        <x:v>VolumeKg</x:v>
      </x:c>
      <x:c r="O1" s="22" t="str">
        <x:v>Estimated1RM</x:v>
      </x:c>
      <x:c r="P1" s="22" t="str">
        <x:v>Notes</x:v>
      </x:c>
      <x:c r="Q1" s="22" t="str">
        <x:v>UpdatedAt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  <x:col min="13" max="13" width="15" hidden="0" customWidth="1"/>
  </x:cols>
  <x:sheetData>
    <x:row r="1" ht="30" customHeight="1">
      <x:c r="A1" s="22" t="str">
        <x:v>FoodLogID</x:v>
      </x:c>
      <x:c r="B1" s="48" t="str">
        <x:v>Date</x:v>
      </x:c>
      <x:c r="C1" s="22" t="str">
        <x:v>Meal</x:v>
      </x:c>
      <x:c r="D1" s="22" t="str">
        <x:v>RecipeID</x:v>
      </x:c>
      <x:c r="E1" s="22" t="str">
        <x:v>RecipeName</x:v>
      </x:c>
      <x:c r="F1" s="22" t="str">
        <x:v>ItemName</x:v>
      </x:c>
      <x:c r="G1" s="22" t="str">
        <x:v>Servings</x:v>
      </x:c>
      <x:c r="H1" s="22" t="str">
        <x:v>kcal</x:v>
      </x:c>
      <x:c r="I1" s="22" t="str">
        <x:v>Protein_g</x:v>
      </x:c>
      <x:c r="J1" s="22" t="str">
        <x:v>Carbs_g</x:v>
      </x:c>
      <x:c r="K1" s="22" t="str">
        <x:v>Fat_g</x:v>
      </x:c>
      <x:c r="L1" s="22" t="str">
        <x:v>Notes</x:v>
      </x:c>
      <x:c r="M1" s="22" t="str">
        <x:v>UpdatedAt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</x:sheetData>
  <x:dataValidations count="1">
    <x:dataValidation type="list" sqref="C2:C5000">
      <x:formula1>"Breakfast,Lunch,Dinner,Snack,Post-workout"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</x:cols>
  <x:sheetData>
    <x:row r="1" ht="30" customHeight="1">
      <x:c r="A1" s="22" t="str">
        <x:v>MetricID</x:v>
      </x:c>
      <x:c r="B1" s="48" t="str">
        <x:v>Date</x:v>
      </x:c>
      <x:c r="C1" s="22" t="str">
        <x:v>WeightKg</x:v>
      </x:c>
      <x:c r="D1" s="22" t="str">
        <x:v>WaistCm</x:v>
      </x:c>
      <x:c r="E1" s="22" t="str">
        <x:v>ChestCm</x:v>
      </x:c>
      <x:c r="F1" s="22" t="str">
        <x:v>HipsCm</x:v>
      </x:c>
      <x:c r="G1" s="22" t="str">
        <x:v>ArmCm</x:v>
      </x:c>
      <x:c r="H1" s="22" t="str">
        <x:v>ThighCm</x:v>
      </x:c>
      <x:c r="I1" s="22" t="str">
        <x:v>BodyFatPct</x:v>
      </x:c>
      <x:c r="J1" s="22" t="str">
        <x:v>RestingHR</x:v>
      </x:c>
      <x:c r="K1" s="22" t="str">
        <x:v>Notes</x:v>
      </x:c>
      <x:c r="L1" s="22" t="str">
        <x:v>UpdatedAt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</x:sheetData>
  <x:conditionalFormatting sqref="C2:C200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{BC1C5CBD-AA39-840E-2552-093B341FAFAB}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C1C5CBD-AA39-840E-2552-093B341FAFAB}">
            <x14:dataBar gradient="1">
              <x14:cfvo type="min"/>
              <x14:cfvo type="max"/>
              <x14:fillColor rgb="FFA02B93"/>
            </x14:dataBar>
          </x14:cfRule>
          <xm:sqref>C2:C2000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</x:cols>
  <x:sheetData>
    <x:row r="1" ht="30" customHeight="1">
      <x:c r="A1" s="22" t="str">
        <x:v>CheckinID</x:v>
      </x:c>
      <x:c r="B1" s="48" t="str">
        <x:v>Date</x:v>
      </x:c>
      <x:c r="C1" s="22" t="str">
        <x:v>Steps</x:v>
      </x:c>
      <x:c r="D1" s="22" t="str">
        <x:v>SleepHrs</x:v>
      </x:c>
      <x:c r="E1" s="22" t="str">
        <x:v>WaterMl</x:v>
      </x:c>
      <x:c r="F1" s="22" t="str">
        <x:v>Hunger1to5</x:v>
      </x:c>
      <x:c r="G1" s="22" t="str">
        <x:v>Energy1to5</x:v>
      </x:c>
      <x:c r="H1" s="22" t="str">
        <x:v>Stress1to5</x:v>
      </x:c>
      <x:c r="I1" s="22" t="str">
        <x:v>DietAdherencePct</x:v>
      </x:c>
      <x:c r="J1" s="22" t="str">
        <x:v>TrainingReadiness1to5</x:v>
      </x:c>
      <x:c r="K1" s="22" t="str">
        <x:v>Notes</x:v>
      </x:c>
      <x:c r="L1" s="22" t="str">
        <x:v>UpdatedAt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</x:sheetData>
  <x:conditionalFormatting sqref="I2:I100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  <x:col min="13" max="13" width="15" hidden="0" customWidth="1"/>
  </x:cols>
  <x:sheetData>
    <x:row r="1" ht="30" customHeight="1">
      <x:c r="A1" s="22" t="str">
        <x:v>PhaseID</x:v>
      </x:c>
      <x:c r="B1" s="22" t="str">
        <x:v>Name</x:v>
      </x:c>
      <x:c r="C1" s="22" t="str">
        <x:v>Mode</x:v>
      </x:c>
      <x:c r="D1" s="48" t="str">
        <x:v>StartDate</x:v>
      </x:c>
      <x:c r="E1" s="48" t="str">
        <x:v>PlannedEndDate</x:v>
      </x:c>
      <x:c r="F1" s="48" t="str">
        <x:v>ActualEndDate</x:v>
      </x:c>
      <x:c r="G1" s="22" t="str">
        <x:v>StartWeightKg</x:v>
      </x:c>
      <x:c r="H1" s="22" t="str">
        <x:v>EndWeightKg</x:v>
      </x:c>
      <x:c r="I1" s="22" t="str">
        <x:v>TargetLossKg</x:v>
      </x:c>
      <x:c r="J1" s="22" t="str">
        <x:v>Status</x:v>
      </x:c>
      <x:c r="K1" s="22" t="str">
        <x:v>RefeedPlan</x:v>
      </x:c>
      <x:c r="L1" s="22" t="str">
        <x:v>Notes</x:v>
      </x:c>
      <x:c r="M1" s="22" t="str">
        <x:v>UpdatedAt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</x:sheetData>
  <x:dataValidations count="1">
    <x:dataValidation type="list" sqref="J2:J1000">
      <x:formula1>"Active,Completed,Planned"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22" t="str">
        <x:v>CardioID</x:v>
      </x:c>
      <x:c r="B1" s="48" t="str">
        <x:v>Date</x:v>
      </x:c>
      <x:c r="C1" s="22" t="str">
        <x:v>Type</x:v>
      </x:c>
      <x:c r="D1" s="22" t="str">
        <x:v>DurationMin</x:v>
      </x:c>
      <x:c r="E1" s="22" t="str">
        <x:v>DistanceKm</x:v>
      </x:c>
      <x:c r="F1" s="22" t="str">
        <x:v>AvgHR</x:v>
      </x:c>
      <x:c r="G1" s="22" t="str">
        <x:v>Intensity</x:v>
      </x:c>
      <x:c r="H1" s="22" t="str">
        <x:v>Steps</x:v>
      </x:c>
      <x:c r="I1" s="22" t="str">
        <x:v>Notes</x:v>
      </x:c>
      <x:c r="J1" s="22" t="str">
        <x:v>UpdatedAt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4.130000114440918" hidden="0" customWidth="1"/>
    <x:col min="3" max="3" width="4.25" hidden="0" customWidth="1"/>
    <x:col min="4" max="4" width="8" hidden="0" customWidth="1"/>
    <x:col min="5" max="5" width="8.880000114440918" hidden="0" customWidth="1"/>
  </x:cols>
  <x:sheetData>
    <x:row r="1" ht="30" customHeight="1">
      <x:c r="A1" s="22" t="str">
        <x:v>PhotoID</x:v>
      </x:c>
      <x:c r="B1" s="48" t="str">
        <x:v>Date</x:v>
      </x:c>
      <x:c r="C1" s="22" t="str">
        <x:v>Note</x:v>
      </x:c>
      <x:c r="D1" s="22" t="str">
        <x:v>LocalOnly</x:v>
      </x:c>
      <x:c r="E1" s="22" t="str">
        <x:v>UpdatedAt</x:v>
      </x:c>
    </x:row>
    <x:row r="2">
      <x:c r="A2" s="16"/>
      <x:c r="B2" s="16"/>
      <x:c r="C2" s="16"/>
      <x:c r="D2" s="16"/>
      <x:c r="E2" s="1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48" hidden="0" customWidth="1"/>
  </x:cols>
  <x:sheetData>
    <x:row r="1" ht="30" customHeight="1">
      <x:c r="A1" s="22" t="str">
        <x:v>Field</x:v>
      </x:c>
      <x:c r="B1" s="22" t="str">
        <x:v>Value</x:v>
      </x:c>
      <x:c r="C1" s="22" t="str">
        <x:v>Notes</x:v>
      </x:c>
    </x:row>
    <x:row r="2">
      <x:c r="A2" s="16" t="str">
        <x:v>AppVersion</x:v>
      </x:c>
      <x:c r="B2" s="16" t="str">
        <x:v>2.0.0</x:v>
      </x:c>
      <x:c r="C2" s="16" t="str">
        <x:v>Backend/app version</x:v>
      </x:c>
    </x:row>
    <x:row r="3">
      <x:c r="A3" s="16" t="str">
        <x:v>SchemaVersion</x:v>
      </x:c>
      <x:c r="B3" s="16" t="n">
        <x:v>2</x:v>
      </x:c>
      <x:c r="C3" s="16" t="str">
        <x:v>Database schema</x:v>
      </x:c>
    </x:row>
    <x:row r="4">
      <x:c r="A4" s="16" t="str">
        <x:v>SpreadsheetID</x:v>
      </x:c>
      <x:c r="B4" s="16" t="str"/>
      <x:c r="C4" s="16" t="str">
        <x:v>Filled by Apps Script setup</x:v>
      </x:c>
    </x:row>
    <x:row r="5">
      <x:c r="A5" s="16" t="str">
        <x:v>PrivateSyncKey</x:v>
      </x:c>
      <x:c r="B5" s="16" t="str"/>
      <x:c r="C5" s="16" t="str">
        <x:v>Generated by Apps Script setup; keep private</x:v>
      </x:c>
    </x:row>
    <x:row r="6">
      <x:c r="A6" s="16" t="str">
        <x:v>WebAppURL</x:v>
      </x:c>
      <x:c r="B6" s="16" t="str"/>
      <x:c r="C6" s="16" t="str">
        <x:v>Paste the deployed /exec URL here for reference</x:v>
      </x:c>
    </x:row>
    <x:row r="7">
      <x:c r="A7" s="16" t="str">
        <x:v>CloudRevision</x:v>
      </x:c>
      <x:c r="B7" s="16" t="n">
        <x:v>0</x:v>
      </x:c>
      <x:c r="C7" s="16" t="str">
        <x:v>Server-assigned revision</x:v>
      </x:c>
    </x:row>
    <x:row r="8">
      <x:c r="A8" s="16" t="str">
        <x:v>LastPushAt</x:v>
      </x:c>
      <x:c r="B8" s="16" t="str"/>
      <x:c r="C8" s="16" t="str">
        <x:v>Most recent successful phone push</x:v>
      </x:c>
    </x:row>
    <x:row r="9">
      <x:c r="A9" s="16" t="str">
        <x:v>LastRequestID</x:v>
      </x:c>
      <x:c r="B9" s="16" t="str"/>
      <x:c r="C9" s="16" t="str">
        <x:v>Most recent POST request</x:v>
      </x:c>
    </x:row>
    <x:row r="10">
      <x:c r="A10" s="16" t="str">
        <x:v>LastStatus</x:v>
      </x:c>
      <x:c r="B10" s="16" t="str"/>
      <x:c r="C10" s="16" t="str">
        <x:v>Most recent POST result</x:v>
      </x:c>
    </x:row>
    <x:row r="11">
      <x:c r="A11" s="16" t="str">
        <x:v>LastError</x:v>
      </x:c>
      <x:c r="B11" s="16" t="str"/>
      <x:c r="C11" s="16" t="str">
        <x:v>Most recent POST error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22" t="str">
        <x:v>ChunkNo</x:v>
      </x:c>
      <x:c r="B1" s="22" t="str">
        <x:v>StateChunk</x:v>
      </x:c>
      <x:c r="C1" s="22" t="str">
        <x:v>Revision</x:v>
      </x:c>
      <x:c r="D1" s="22" t="str">
        <x:v>UpdatedAt</x:v>
      </x:c>
      <x:c r="E1" s="22" t="str">
        <x:v>LastRequestID</x:v>
      </x:c>
      <x:c r="F1" s="22" t="str">
        <x:v>LastStatus</x:v>
      </x:c>
      <x:c r="G1" s="22" t="str">
        <x:v>LastError</x:v>
      </x:c>
    </x:row>
    <x:row r="2">
      <x:c r="A2" s="16" t="n">
        <x:v>1</x:v>
      </x:c>
      <x:c r="B2" s="16" t="str">
        <x:v>{"version":2,"schemaVersion":2,"createdFor":"","meta":{"appVersion":"2.0.0","revision":0,"lastModifiedAt":"2026-07-19T10:00:00.000Z","lastCloudSyncAt":"","lastCloudRevision":0,"clientId":""},"settings":{"profileName":"","age":"","heightCm":"","targetWeightKg":"","activeProgram":"UL4","dietMode":"Normal / moderate deficit","normalCalorieTarget":2200,"normalProteinTarget":170,"normalCarbTarget":180,"normalFatTarget":70,"rflCalorieTarget":"","rflProteinTarget":"","rflCarbTarget":"","rflFatTarget":"","stepsTarget":8000,"sleepTargetHrs":7.5,"waterTargetMl":2500,"noBellPeppers":false,"noShellfish":false,"lastSession":"UL4|lower-a","weekStartsMonday":true,"theme":"system","autoSync":false,"syncUrl":"","syncKey":"","availableEquipment":["Power rack","Barbell","Adjustable bench","Dumbbells","Cable station","Chin-up bar / rings","Calf setup","Ab wheel"],"restTimerDefaultSec":120},"programs":[{"id":"UL4","name":"Normal 4-day Upper/Lower","mode":"Normal / moderate deficit","sessions":[{"id":"lower-a","name":"Lower A","day":"Monday","exercises":[{"id":"ul4-lower-a-1","name":"High-bar back squat","sets":3,"reps":"6-8","rir":"1-2","notes":"Use controlled depth; substitute if back/knees complain.","order":1,"exerciseId":"EX001","restSec":150,"updatedAt":"2026-07-19T10:00:00.000Z"},{"id":"ul4-lower-a-2","name":"Romanian deadlift","sets":3,"reps":"6-8","rir":"1-2","notes":"Replace with hip thrust or cable pull-through if lower back is limiting.","order":2,"exerciseId":"EX008","restSec":150,"updatedAt":"2026-07-19T10:00:00.000Z"},{"id":"ul4-lower-a-3","name":"Bulgarian split squat","sets":2,"reps":"8-12 each leg","rir":"1-2","notes":"","order":3,"exerciseId":"EX006","restSec":90,"updatedAt":"2026-07-19T10:00:00.000Z"},{"id":"ul4-lower-a-4","name":"Cable leg curl","sets":2,"reps":"10-15","rir":"1-2","notes":"","order":4,"exerciseId":"EX012","restSec":90,"updatedAt":"2026-07-19T10:00:00.000Z"},{"id":"ul4-lower-a-5","name":"Standing calf raise","sets":3,"reps":"8-15","rir":"1-2","notes":"","order":5,"exerciseId":"EX013","restSec":90,"updatedAt":"2026-07-19T10:00:00.000Z"},{"id":"ul4-lower-a-6","name":"Dead bug or Pallof press","sets":2,"reps":"10-15","rir":"2","notes":"","order":6,"exerciseId":"","restSec":90,"updatedAt":"2026-07-19T10:00:00.000Z"}],"order":1,"updatedAt":"2026-07-19T10:00:00.000Z","notes":""},{"id":"upper-a","name":"Upper A","day":"Tuesday","exercises":[{"id":"ul4-upper-a-1","name":"Barbell bench press","sets":3,"reps":"6-8","rir":"1-2","notes":"","order":1,"exerciseId":"EX014","restSec":150,"updatedAt":"2026-07-19T10:00:00.000Z"},{"id":"ul4-upper-a-2","name":"Chest-supported dumbbell row","sets":3,"reps":"6-10","rir":"1-2","notes":"Back-friendly row option.","order":2,"exerciseId":"EX023","restSec":150,"updatedAt":"2026-07-19T10:00:00.000Z"},{"id":"ul4-upper-a-3","name":"Incline dumbbell press","sets":2,"reps":"8-12","rir":"1-2","notes":"","order":3,"exerciseId":"EX016","restSec":90,"updatedAt":"2026-07-19T10:00:00.000Z"},{"id":"ul4-upper-a-4","name":"Cable lat pulldown or ring chin-up","sets":2,"reps":"8-12","rir":"1-2","notes":"","order":4,"exerciseId":"","restSec":90,"updatedAt":"2026-07-19T10:00:00.000Z"},{"id":"ul4-upper-a-5","name":"Cable lateral raise","sets":3,"reps":"12-20","rir":"1","notes":"GVS-style controlled delt work.","order":5,"exerciseId":"EX033","restSec":90,"updatedAt":"2026-07-19T10:00:00.000Z"},{"id":"ul4-upper-a-6","name":"Cable triceps pushdown","sets":2,"reps":"10-15","rir":"1","notes":"","order":6,"exerciseId":"EX038","restSec":90,"updatedAt":"2026-07-19T10:00:00.000Z"},{"id":"ul4-upper-a-7","name":"Incline dumbbell or cable curl","sets":2,"reps":"10-15","rir":"1","notes":"","order":7,"exerciseId":"","restSec":90,"updatedAt":"2026-07-19T10:00:00.000Z"}],"order":2,"updatedAt":"2026-07-19T10:00:00.000Z","notes":""},{"id":"lower-b","name":"Lower B","day":"Thursday","exercises":[{"id":"ul4-lower-b-1","name":"Front squat or heels-elevated squat","sets":3,"reps":"6-10","rir":"1-2","notes":"Choose the squat pattern that feels best.","order":1,"exerciseId":"","restSec":150,"updatedAt":"2026-07-19T10:00:00.000Z"},{"id":"ul4-lower-b-2","name":"Barbell hip thrust","sets":3,"reps":"8-12","rir":"1-2","notes":"","order":2,"exerciseId":"EX010","restSec":150,"updatedAt":"2026-07-19T10:00:00.000Z"},{"id":"ul4-lower-b-3","name":"Reverse lunge","sets":2,"reps":"8-12 each leg","rir":"1-2","notes":"","order":3,"exerciseId":"EX007","restSec":90,"updatedAt":"2026-07-19T10:00:00.000Z"},{"id":"ul4-lower-b-4","name":"Cable leg curl","sets":2,"reps":"12-20","rir":"1-2","notes":"","order":4,"exerciseId":"EX012","restSec":90,"updatedAt":"2026-07-19T10:00:00.000Z"},{"id":"ul4-lower-b-5","name":"Standing calf raise","sets":3,"reps":"12-20","rir":"1-2","notes":"","order":5,"exerciseId":"EX013","restSec":90,"updatedAt":"2026-07-19T10:00:00.000Z"},{"id":"ul4-lower-b-6","name":"Ab wheel or cable crunch","sets":2,"reps":"8-15","rir":"1-2","notes":"","order":6,"exerciseId":"","restSec":90,"updatedAt":"2026-07-19T10:00:00.000Z"}],"order":3,"updatedAt":"2026-07-19T10:00:00.000Z","notes":""},{"id":"upper-b","name":"Upper B","day":"Friday","exercises":[{"id":"ul4-upper-b-1","name":"Weighted chin-up or heavy pulldown","sets":3,"reps":"6-8","rir":"1-2","notes":"","order":1,"exerciseId":"","restSec":150,"updatedAt":"2026-07-19T10:00:00.000Z"},{"id":"ul4-upper-b-2","name":"Seated dumbbell overhead press","sets":3,"reps":"6-10","rir":"1-2","notes":"","order":2,"exerciseId":"EX020","restSec":150,"updatedAt":"2026-07-19T10:00:00.000Z"},{"id":"ul4-upper-b-3","name":"One-arm cable row","sets":2,"reps":"8-12","rir":"1-2","notes":"","order":3,"exerciseId":"EX024","restSec":90,"updatedAt":"2026-07-19T10:00:00.000Z"},{"id":"ul4-upper-b-4","name":"Close-grip bench press or weighted ring push-up","sets":2,"reps":"8-12","rir":"1-2","notes":"","order":4,"exerciseId":"","restSec":90,"updatedAt":"2026-07-19T10:00:00.000Z"},{"id":"ul4-upper-b-5","name":"Cable rear-delt fly or face pull","sets":3,"reps":"12-20","rir":"1","notes":"","order":5,"exerciseId":"","restSec":90,"updatedAt":"2026-07-19T10:00:00.000Z"},{"id":"ul4-upper-b-6","name":"Cable lateral raise","sets":2,"reps":"12-20","rir":"1","notes":"","order":6,"exerciseId":"EX033","restSec":90,"updatedAt":"2026-07-19T10:00:00.000Z"},{"id":"ul4-upper-b-7","name":"Overhead cable triceps extension","sets":2,"reps":"10-15","rir":"1","notes":"","order":7,"exerciseId":"EX039","restSec":90,"updatedAt":"2026-07-19T10:00:00.000Z"},{"id":"ul4-upper-b-8","name":"Dumbbell hammer curl","sets":2,"reps":"10-15","rir":"1","notes":"","order":8,"exerciseId":"EX043","restSec":90,"updatedAt":"2026-07-19T10:00:00.000Z"}],"order":4,"updatedAt":"2026-07-19T10:00:00.000Z","notes":""}],"description":"Four-day upper/lower plan for normal dieting, maintenance, or slow fat loss.","active":true,"updatedAt":"2026-07-19T10:00:00.000Z"},{"id":"RFL2","name":"RFL 2-day Full Body","mode":"RFL / PSMF","sessions":[{"id":"rfl-full-body-a","name":"RFL Full Body A","day":"Monday","exercises":[{"id":"rfl2-rfl-full-body-a-1","name":"High-bar back squat","sets":2,"reps":"5-8","rir":"2-3","notes":"Preserve strength; no grinders.","order":1,"exerciseId":"EX001","restSec":90,"updatedAt":"2026-07-19T10:00:00.000Z"},{"id":"rfl2-rfl-full-body-a-2","name":"Barbell bench press","sets":2,"reps":"5-8","rir":"2-3","notes":"","order":2,"exerciseId":"EX014","restSec":90,"updatedAt":"2026-07-19T10:00:00.000Z"},{"id":"rfl2-rfl-full-body-a-3","name":"Chest-supported dumbbell row","sets":2,"reps":"6-10","rir":"2-3","notes":"","order":3,"exerciseId":"EX023","restSec":90,"updatedAt":"2026-07-19T10:00:00.000Z"},{"id":"rfl2-rfl-full-body-a-4","name":"Romanian deadlift or hip thrust","sets":2,"reps":"6-10","rir":"2-3","notes":"","order":4,"exerciseId":"","restSec":90,"updatedAt":"2026-07-19T10:00:00.000Z"},{"id":"rfl2-rfl-full-body-a-5","name":"Cable lateral raise","sets":1,"reps":"12-20","rir":"2-3","notes":"","order":5,"exerciseId":"EX033","restSec":90,"updatedAt":"2026-07-19T10:00:00.000Z"},{"id":"rfl2-rfl-full-body-a-6","name":"Cable curl","sets":1,"reps":"10-15","rir":"2-3","notes":"","order":6,"exerciseId":"EX041","restSec":90,"updatedAt":"2026-07-19T10:00:00.000Z"},{"id":"rfl2-rfl-full-body-a-7","name":"Cable triceps pushdown","sets":1,"reps":"10-15","rir":"2-3","notes":"","order":7,"exerciseId":"EX038","restSec":90,"updatedAt":"2026-07-19T10:00:00.000Z"}],"order":1,"updatedAt":"2026-07-19T10:00:00.000Z","notes":""},{"id":"rfl-full-body-b","name":"RFL Full Body B","day":"Thursday","exercises":[{"id":"rfl2-rfl-full-body-b-1","name":"Front squat or Bulgarian split squat","sets":2,"reps":"6-10","rir":"2-3","notes":"","order":1,"exerciseId":"","restSec":90,"updatedAt":"2026-07-19T10:00:00.000Z"},{"id":"rfl2-rfl-full-body-b-2","name":"Incline dumbbell or seated dumbbell press","sets":2,"reps":"6-10","rir":"2-3","notes":"","order":2,"exerciseId":"EX022","restSec":90,"updatedAt":"2026-07-19T10:00:00.000Z"},{"id":"rfl2-rfl-full-body-b-3","name":"Pulldown or chin-up","sets":2,"reps":"6-10","rir":"2-3","notes":"","order":3,"exerciseId":"","restSec":90,"updatedAt":"2026-07-19T10:00:00.000Z"},{"id":"rfl2-rfl-full-body-b-4","name":"Hip thrust or cable leg curl","sets":2,"reps":"8-12","rir":"2-3","notes":"","order":4,"exerciseId":"","restSec":90,"updatedAt":"2026-07-19T10:00:00.000Z"},{"id":"rfl2-rfl-full-body-b-5","name":"Rear-delt cable fly","sets":1,"reps":"12-20","rir":"2-3","notes":"","order":5,"exerciseId":"EX037","restSec":90,"updatedAt":"2026-07-19T10:00:00.000Z"},{"id":"rfl2-rfl-full-body-b-6","name":"Hammer curl","sets":1,"reps":"10-15","rir":"2-3","notes":"","order":6,"exerciseId":"","restSec":90,"updatedAt":"2026-07-19T10:00:00.000Z"},{"id":"rfl2-rfl-full-body-b-7","name":"Overhead triceps extension","sets":1,"reps":"10-15","rir":"2-3","notes":"","order":7,"exerciseId":"","restSec":90,"updatedAt":"2026-07-19T10:00:00.000Z"}],"order":2,"updatedAt":"2026-07-19T10:00:00.000Z","notes":""}],"description":"Two-day low-volume full-body plan for RFL blocks; preserve strength rather than chase fatigue.","active":true,"updatedAt":"2026-07-19T10:00:00.000Z"},{"id":"GVS_EXTRA","name":"Optional GVS-style Delts/Arms","mode":"Optional only outside RFL","sessions":[{"id":"delts-arms","name":"Delts/Arms","day":"Saturday","exercises":[{"id":"gvs_extra-delts-arms-1","name":"Cable lateral raise","sets":3,"reps":"15-25","rir":"0-1 on final safe set","notes":"Only if recovered; skip during RFL.","order":1,"exerciseId":"EX033","restSec":90,"updatedAt":"2026-07-19T10:00:00.000Z"},{"id":"gvs_extra-delts-arms-2","name":"Cable rear-delt fly","sets":3,"reps":"15-25","rir":"0-1 on final safe set","notes":"","order":2,"exerciseId":"EX035","restSec":90,"updatedAt":"2026-07-19T10:00:00.000Z"},{"id":"gvs_extra-delts-arms-3","name":"Cable or ring curl","sets":2,"reps":"10-15","rir":"1","notes":"","order":3,"exerciseId":"EX045","restSec":90,"updatedAt":"2026-07-19T10:00:00.000Z"},{"id":"gvs_extra-delts-arms-4","name":"Overhead cable triceps extension","sets":2,"reps":"10-15","rir":"1","notes":"","order":4,"exerciseId":"EX039","restSec":90,"updatedAt":"2026-07-19T10:00:00.000Z"},{"id":"gvs_extra-delts-arms-5","name":"Standing calf raise","sets":3,"reps":"12-20","rir":"1","notes":"","order":5,"exerciseId":"EX013","restSec":90,"updatedAt":"2026-07-19T10:00:00.000Z"}],"order":1,"updatedAt":"2026-07-19T10:00:00.000Z","notes":""}],"description":"Optional short delt/arm/calves session only when recovered and outside RFL.","active":true,"updatedAt":"2026-07-19T10:00:00.000Z"}],"exercises":[{"id":"EX001","name":"High-bar back squat","muscle":"Quads / Glutes","pattern":"Squat","equipment":"Power rack + barbell","primaryFor":"Squat","difficulty":"Main lift","notes":"Use if bracing and depth remain controlled.","rflOk":"Yes","favourite":false,"updatedAt":"2026-07-19T10:00:00.000Z"},{"id":"EX002","name":"Front squat","muscle":"Quads / Core","pattern":"Squat","equipment":"Power rack + barbell","primaryFor":"Squat","difficulty":"Main lift","notes":"Useful if it is more back-friendly than back squat.","rflOk":"Yes","favourite":false,"updatedAt":"2026-07-19T10:00:00.000Z"},{"id":"EX003","name":"Heels-elevated squat","muscle":"Quads","pattern":"Squat","equipment":"Barbell or dumbbells","primaryFor":"Squat","difficulty":"Main lift","notes":"More quad bias; use a small wedge or plates under heels.","rflOk":"Yes","favourite":false,"updatedAt":"2026-07-19T10:00:00.000Z"},{"id":"EX004","name":"Box squat","muscle":"Quads / Glutes","pattern":"Squat","equipment":"Power rack + box","primaryFor":"Squat","difficulty":"Substitution","notes":"Useful for controlled depth.","rflOk":"Yes","favourite":false,"updatedAt":"2026-07-19T10:00:00.000Z"},{"id":"EX005","name":"Goblet squat","muscle":"Quads / Glutes","pattern":"Squat","equipment":"Dumbbell","primaryFor":"Squat","difficulty":"Substitution","notes":"Good warm-up or deload option.","rflOk":"Yes","favourite":false,"updatedAt":"2026-07-19T10:00:00.000Z"},{"id":"EX006","name":"Bulgarian split squat","muscle":"Quads / Glutes","pattern":"Single-leg","equipment":"Dumbbells","primaryFor":"Squat","difficulty":"Accessory","notes":"High stimulus with lower spinal loading.","rflOk":"Yes","favourite":false,"updatedAt":"2026-07-19T10:00:00.000Z"},{"id":"EX007","name":"Reverse lunge","muscle":"Quads / Glutes","pattern":"Single-leg","equipment":"Dumbbells","primaryFor":"Squat","difficulty":"Accessory","notes":"Usually knee-friendly if stride is controlled.","rflOk":"Yes","favourite":false,"updatedAt":"2026-07-19T10:00:00.000Z"},{"id":"EX008","name":"Romanian deadlift","muscle":"Hamstrings / Glutes","pattern":"Hip hinge","equipment":"Barbell or dumbbells","primaryFor":"Hinge","difficulty":"Main lift","notes":"Only use if lower back is not the limiter.","rflOk":"Yes","favourite":false,"updatedAt":"2026-07-19T10:00:00.000Z"},{"id":"EX009","name":"Dumbbell Romanian deadlift","muscle":"Hamstrings / Glutes","pattern":"Hip hinge","equipment":"Dumbbells","primaryFor":"Hinge","difficulty":"Substitution","notes":"Easier to control than barbell for some lifters.","rflOk":"Yes","favourite":false,"updatedAt":"2026-07-19T10:00:00.000Z"},{"id":"EX010","name":"Barbell hip thrust","muscle":"Glutes / Hamstrings","pattern":"Hip extension","equipment":"Barbell + bench","primaryFor":"Hinge","difficulty":"Main lift","notes":"Back-friendly hinge replacement.","rflOk":"Yes","favourite":false,"updatedAt":"2026-07-19T10:00:00.000Z"},{"id":"EX011","name":"Cable pull-through","muscle":"Glutes / Hamstrings","pattern":"Hip hinge","equipment":"Cable","primaryFor":"Hinge","difficulty":"Substitution","notes":"Good replacement for RDL if back feels taxed.","rflOk":"Yes","favourite":false,"updatedAt":"2026-07-19T10:00:00.000Z"},{"id":"EX012","name":"Cable leg curl","muscle":"Hamstrings","pattern":"Knee flexion","equipment":"Cable ankle strap","primaryFor":"Hamstrings","difficulty":"Accessory","notes":"Can use bench/prone setup with ankle strap.","rflOk":"Yes","favourite":false,"updatedAt":"2026-07-19T10:00:00.000Z"},{"id":"EX013","name":"Standing calf raise","muscle":"Calves","pattern":"Calf raise","equipment":"Barbell or dumbbells","primaryFor":"Calves","difficulty":"Accessory","notes":"Pause in stretched and contracted positions.","rflOk":"Yes","favourite":false,"updatedAt":"2026-07-19T10:00:00.000Z"},{"id":"EX014","name":"Barbell bench press","muscle":"Chest / Triceps","pattern":"Horizontal press","equipment":"Power rack + barbell","primaryFor":"Press","difficulty":"Main lift","notes":"Use safeties in rack.","rflOk":"Yes","favourite":false,"updatedAt":"2026-07-19T10:00:00.000Z"},{"id":"EX015","name":"Dumbbell bench press","muscle":"Chest / Triceps","pattern":"Horizontal press","equipment":"Dumbbells + bench","primaryFor":"Press","difficulty":"Substitution","notes":"Good shoulder-friendly press variation.","rflOk":"Yes","favourite":false,"updatedAt":"2026-07-19T10:00:00.000Z"},{"id":"EX016","name":"Incline dumbbell press","muscle":"Upper chest","pattern":"Incline press","equipment":"Dumbbells + bench","primaryFor":"Press","difficulty":"Accessory","notes":"Use controlled eccentric.","rflOk":"Yes","favourite":false,"updatedAt":"2026-07-19T10:00:00.000Z"},{"id":"EX017","name":"Floor press","muscle":"Chest / Triceps","pattern":"Horizontal press","equipment":"Barbell or dumbbells","primaryFor":"Press","difficulty":"Substitution","notes":"Good if shoulder range is sensitive.","rflOk":"Yes","favourite":false,"updatedAt":"2026-07-19T10:00:00.000Z"},{"id":"EX018","name":"Close-grip bench press","muscle":"Triceps / Chest","pattern":"Horizontal press","equipment":"Power rack + barbell","primaryFor":"Triceps","difficulty":"Accessory","notes":"Avoid painful wrist/elbow angles.","rflOk":"Yes","favourite":false,"updatedAt":"2026-07-19T10:00:00.000Z"},{"id":"EX019","name":"Weighted ring push-up","muscle":"Chest / Triceps","pattern":"Horizontal press","equipment":"Rings / straps","primaryFor":"Press","difficulty":"Substitution","notes":"Progress by adding load or elevating feet.","rflOk":"Yes","favourite":false,"updatedAt":"2026-07-19T10:00:00.000Z"},{"id":"EX020","name":"Seated dumbbell overhead press","muscle":"Delts / Triceps","pattern":"Vertical press","equipment":"Dumbbells + bench","primaryFor":"Press","difficulty":"Main lift","notes":"More back-friendly than standing press.","rflOk":"Yes","favourite":false,"updatedAt":"2026-07-19T10:00:00.000Z"},{"id":"EX021","name":"Standing overhead press","muscle":"Delts / Triceps","pattern":"Vertical press","equipment":"Barbell","primaryFor":"Press","difficulty":"Substitution","notes":"Use only if bracing is solid.","rflOk":"Yes","favourite":false,"updatedAt":"2026-07-19T10:00:00.000Z"},{"id":"EX022","name":"Incline dumbbell or seated dumbbell press","muscle":"Chest / Delts","pattern":"Incline or vertical press","equipment":"Dumbbells + bench","primaryFor":"Press","difficulty":"RFL combined slot","notes":"Choose the one that feels strongest that day.","rflOk":"Yes","favourite":false,"updatedAt":"2026-07-19T10:00:00.000Z"},{"id":"EX023","name":"Chest-supported dumbbell row","muscle":"Upper back / Lats","pattern":"Horizontal pull","equipment":"Dumbbells + incline bench","primaryFor":"Row","difficulty":"Main lift","notes":"Preferred back-friendly row.","rflOk":"Yes","favourite":false,"updatedAt":"2026-07-19T10:00:00.000Z"},{"id":"EX024","name":"One-arm cable row","muscle":"Upper back / Lats","pattern":"Horizontal pull","equipment":"Cable","primaryFor":"Row","difficulty":"Accessory","notes":"Keep torso stable.","rflOk":"Yes","favourite":false,"updatedAt":"2026-07-19T10:00:00.000Z"},{"id":"EX025","name":"Seated cable row","muscle":"Upper back / Lats","pattern":"Horizontal pull","equipment":"Cable","primaryFor":"Row","difficulty":"Substitution","notes":"Good controlled row option.","rflOk":"Yes","favourite":false,"updatedAt":"2026-07-19T10:00:00.000Z"},{"id":"EX026","name":"One-arm dumbbell row","muscle":"Lats / Upper back","pattern":"Horizontal pull","equipment":"Dumbbell + bench","primaryFor":"Row","difficulty":"Substitution","notes":"Support torso on bench.","rflOk":"Yes","favourite":false,"updatedAt":"2026-07-19T10:00:00.000Z"},{"id":"EX027","name":"Inverted row","muscle":"Upper back","pattern":"Horizontal pull","equipment":"Rings / bar in rack","primaryFor":"Row","difficulty":"Substitution","notes":"Adjust body angle for difficulty.","rflOk":"Yes","favourite":false,"updatedAt":"2026-07-19T10:00:00.000Z"},{"id":"EX028","name":"Barbell row","muscle":"Upper back","pattern":"Horizontal pull","equipment":"Barbell","primaryFor":"Row","difficulty":"Caution","notes":"Use only if lower back is not limiting.","rflOk":"No during RFL if fatigued","favourite":false,"updatedAt":"2026-07-19T10:00:00.000Z"},{"id":"EX029","name":"Cable lat pulldown","muscle":"Lats","pattern":"Vertical pull","equipment":"Cable","primaryFor":"Vertical pull","difficulty":"Main lift","notes":"Use controlled stretch.","rflOk":"Yes","favourite":false,"updatedAt":"2026-07-19T10:00:00.000Z"},{"id":"EX030","name":"Ring chin-up","muscle":"Lats / Biceps","pattern":"Vertical pull","equipment":"Rings / pull-up bar","primaryFor":"Vertical pull","difficulty":"Substitution","notes":"Use assistance if needed.","rflOk":"Yes","favourite":false,"updatedAt":"2026-07-19T10:00:00.000Z"},{"id":"EX031","name":"Weighted chin-up","muscle":"Lats / Biceps","pattern":"Vertical pull","equipment":"Pull-up bar + belt","primaryFor":"Vertical pull","difficulty":"Main lift","notes":"Only load when reps are clean.","rflOk":"Yes","favourite":false,"updatedAt":"2026-07-19T10:00:00.000Z"},{"id":"EX032","name":"Straight-arm cable pulldown","muscle":"Lats","pattern":"Pullover","equipment":"Cable","primaryFor":"Vertical pull","difficulty":"Accessory","notes":"Good lat isolation add-on.","rflOk":"Yes","favourite":false,"updatedAt":"2026-07-19T10:00:00.000Z"},{"id":"EX033","name":"Cable lateral raise","muscle":"Side delts","pattern":"Lateral raise","equipment":"Cable","primaryFor":"Delts","difficulty":"GVS-style accessory","notes":"High-control delt work.","rflOk":"Yes","favourite":false,"updatedAt":"2026-07-19T10:00:00.000Z"},{"id":"EX034","name":"Dumbbell lateral raise","muscle":"Side delts","pattern":"Lateral raise","equipment":"Dumbbells","primaryFor":"Delts","difficulty":"Substitution","notes":"Use strict reps; avoid swinging.","rflOk":"Yes","favourite":false,"updatedAt":"2026-07-19T10:00:00.000Z"},{"id":"EX035","name":"Cable rear-delt fly","muscle":"Rear delts","pattern":"Rear delt","equipment":"Cable","primaryFor":"Rear delts","difficulty":"Accessory","notes":"Lead with elbows, not hands.","rflOk":"Yes","favourite":false,"updatedAt":"2026-07-19T10:00:00.000Z"},{"id":"EX036","name":"Face pull","muscle":"Rear delts / Upper back","pattern":"Rear delt / external rotation","equipment":"Cable","primaryFor":"Rear delts","difficulty":"Substitution","notes":"Good shoulder-health option.","rflOk":"Yes","favourite":false,"updatedAt":"2026-07-19T10:00:00.000Z"},{"id":"EX037","name":"Rear-delt cable fly","muscle":"Rear delts","pattern":"Rear delt","equipment":"Cable","primaryFor":"Rear delts","difficulty":"Accessory","notes":"Same as cable rear-delt fly.","rflOk":"Yes","favourite":false,"updatedAt":"2026-07-19T10:00:00.000Z"},{"id":"EX038","name":"Cable triceps pushdown","muscle":"Triceps","pattern":"Elbow extension","equipment":"Cable","primaryFor":"Triceps","difficulty":"Accessory","notes":"Keep upper arm fixed.","rflOk":"Yes","favourite":false,"updatedAt":"2026-07-19T10:00:00.000Z"},{"id":"EX039","name":"Overhead cable triceps extension","muscle":"Triceps long head","pattern":"Elbow extension","equipment":"Cable","primaryFor":"Triceps","difficulty":"Accessory","notes":"Use pain-free elbow path.","rflOk":"Yes","favourite":false,"updatedAt":"2026-07-19T10:00:00.000Z"},{"id":"EX040","name":"Dumbbell skull crusher","muscle":"Triceps","pattern":"Elbow extension","equipment":"Dumbbells","primaryFor":"Triceps","difficulty":"Substitution","notes":"Use light and controlled.","rflOk":"Maybe","favourite":false,"updatedAt":"2026-07-19T10:00:00.000Z"},{"id":"EX041","name":"Cable curl","muscle":"Biceps","pattern":"Elbow flexion","equipment":"Cable","primaryFor":"Biceps","difficulty":"Accessory","notes":"Constant tension curl.","rflOk":"Yes","favourite":false,"updatedAt":"2026-07-19T10:00:00.000Z"},{"id":"EX042","name":"Incline dumbbell curl","muscle":"Biceps","pattern":"Elbow flexion","equipment":"Dumbbells + bench","primaryFor":"Biceps","difficulty":"Accessory","notes":"Great long-head stretch; do not overextend shoulder.","rflOk":"Yes","favourite":false,"updatedAt":"2026-07-19T10:00:00.000Z"},{"id":"EX043","name":"Dumbbell hammer curl","muscle":"Biceps / Brachialis","pattern":"Elbow flexion","equipment":"Dumbbells","primaryFor":"Biceps","difficulty":"Accessory","notes":"Neutral-grip elbow-friendly curl.","rflOk":"Yes","favourite":false,"updatedAt":"2026-07-19T10:00:00.000Z"},{"id":"EX044","name":"Ring curl","muscle":"Biceps","pattern":"Elbow flexion","equipment":"Rings / straps","primaryFor":"Biceps","difficulty":"Substitution","notes":"Adjust angle for difficulty.","rflOk":"Yes","favourite":false,"updatedAt":"2026-07-19T10:00:00.000Z"},{"id":"EX045","name":"Cable or ring curl","muscle":"Biceps","pattern":"Elbow flexion","equipment":"Cable or rings","primaryFor":"Biceps","difficulty":"Optional slot","notes":"Choose cable if elbows feel sensitive.","rflOk":"Yes","favourite":false,"updatedAt":"2026-07-19T10:00:00.000Z"},{"id":"EX046","name":"Dead bug","muscle":"Core","pattern":"Anti-extension","equipment":"Bodyweight","primaryFor":"Core","difficulty":"Accessory","notes":"Control lower back position.","rflOk":"Yes","favourite":false,"updatedAt":"2026-07-19T10:00:00.000Z"},{"id":"EX047","name":"Pallof press","muscle":"Core","pattern":"Anti-rotation","equipment":"Cable","primaryFor":"Core","difficulty":"Accessory","notes":"Pause each rep.","rflOk":"Yes","favourite":false,"updatedAt":"2026-07-19T10:00:00.000Z"},{"id":"EX048","name":"Ab wheel","muscle":"Core","pattern":"Anti-extension","equipment":"Ab wheel","primaryFor":"Core","difficulty":"Accessory","notes":"Use only if lower back stays neutral.","rflOk":"No if fatigued","favourite":false,"updatedAt":"2026-07-19T10:00:00.000Z"},{"id":"EX049","name":"Cable crunch","muscle":"Abs","pattern":"Spinal flexion","equipment":"Cable","primaryFor":"Core","difficulty":"Substitution","notes":"Controlled range; avoid yanking.","rflOk":"Yes","favourite":false,"updatedAt":"2026-07-19T10:00:00.000Z"},{"id":"EX050","name":"Brisk walking","muscle":"Cardio / Recovery","pattern":"Aerobic","equipment":"Outdoor / treadmill","primaryFor":"Cardio","difficulty":"Recovery","notes":"Easy pace where you can speak in sentences.","rflOk":"Yes","favourite":false,"updatedAt":"2026-07-19T10:00:00.000Z"},{"id":"EX051","name":"Easy bike","muscle":"Cardio / Recovery","pattern":"Aerobic","equipment":"Stationary bike","primaryFor":"Cardio","difficulty":"Recovery","notes":"Low impact option if available.","rflOk":"Yes","favourite":false,"updatedAt":"2026-07-19T10:00:00.000Z"},{"id":"EX052","name":"Mobility flow","muscle":"Recovery","pattern":"Mobility","equipment":"Bodyweight","primaryFor":"Recovery","difficulty":"Recovery","notes":"5-10 minutes hips, t-spine, ankles.","rflOk":"Yes","favourite":false,"updatedAt":"2026-07-19T10:00:00.000Z"}],"alternatives":[{"defaultExercise":"High-bar back squat","alternative":"Front squat","reason":"Back feels taxed","notes":"More upright torso.","id":"ALT001","updatedAt":"2026-07-19T10:00:00.000Z"},{"defaultExercise":"High-bar back squat","alternative":"Heels-elevated squat","reason":"Need more quad bias","notes":"Can use dumbbells or barbell.","id":"ALT002","updatedAt":"2026-07-19T10:00:00.000Z"},{"defaultExercise":"High-bar back squat","alternative":"Box squat","reason":"Need controlled depth","notes":"Use safety pins and a stable box.","id":"ALT003","updatedAt":"2026-07-19T10:00:00.000Z"},{"defaultExercise":"High-bar back squat","alternative":"Goblet squat","reason":"Deload or warm-up","notes":"Lower loading.","id":"ALT004","updatedAt":"2026-07-19T10:00:00.000Z"},{"defaultExercise":"Front squat or heels-elevated squat","alternative":"High-bar back squat","reason":"Front rack uncomfortable","notes":"Return to standard squat if back tolerates it.","id":"ALT005","updatedAt":"2026-07-19T10:00:00.000Z"},{"defaultExercise":"Front squat or heels-elevated squat","alternative":"Bulgarian split squat","reason":"Back-sensitive day","notes":"Hard leg stimulus with less spinal loading.","id":"ALT006","updatedAt":"2026-07-19T10:00:00.000Z"},{"defaultExercise":"Romanian deadlift","alternative":"Barbell hip thrust","reason":"Lower back discomfort","notes":"Default replacement.","id":"ALT007","updatedAt":"2026-07-19T10:00:00.000Z"},{"defaultExercise":"Romanian deadlift","alternative":"Cable pull-through","reason":"Lower back discomfort","notes":"Cable hinge pattern.","id":"ALT008","updatedAt":"2026-07-19T10:00:00.000Z"},{"defaultExercise":"Romanian deadlift","alternative":"Dumbbell Romanian deadlift","reason":"Technique practice","notes":"Smaller load increments.","id":"ALT009","updatedAt":"2026-07-19T10:00:00.000Z"},{"defaultExercise":"Romanian deadlift or hip thrust","alternative":"Barbell hip thrust","reason":"RFL fatigue","notes":"Back-friendly option.","id":"ALT010","updatedAt":"2026-07-19T10:00:00.000Z"},{"defaultExercise":"Romanian deadlift or hip thrust","alternative":"Cable pull-through","reason":"Back-sensitive day","notes":"Keep RIR 2-3.","id":"ALT011","updatedAt":"2026-07-19T10:00:00.000Z"},{"defaultExercise":"Barbell hip thrust","alternative":"Cable pull-through","reason":"Bench setup unavailable","notes":"Good cable substitute.","id":"ALT012","updatedAt":"2026-07-19T10:00:00.000Z"},{"defaultExercise":"Barbell bench press","alternative":"Dumbbell bench press","reason":"Shoulder comfort","notes":"Greater freedom of movement.","id":"ALT013","updatedAt":"2026-07-19T10:00:00.000Z"},{"defaultExercise":"Barbell bench press","alternative":"Floor press","reason":"Shoulder range limitation","notes":"Reduced bottom range.","id":"ALT014","updatedAt":"2026-07-19T10:00:00.000Z"},{"defaultExercise":"Barbell bench press","alternative":"Weighted ring push-up","reason":"Want shoulder-friendly press","notes":"Progress with load/body angle.","id":"ALT015","updatedAt":"2026-07-19T10:00:00.000Z"},{"defaultExercise":"Incline dumbbell press","alternative":"Dumbbell bench press","reason":"Incline setup unavailable","notes":"Flat press substitute.","id":"ALT016","updatedAt":"2026-07-19T10:00:00.000Z"},{"defaultExercise":"Incline dumbbell or seated dumbbell press","alternative":"Seated dumbbell overhead press","reason":"Prefer vertical press","notes":"RFL press slot.","id":"ALT017","updatedAt":"2026-07-19T10:00:00.000Z"},{"defaultExercise":"Incline dumbbell or seated dumbbell press","alternative":"Incline dumbbell press","reason":"Prefer chest emphasis","notes":"RFL press slot.","id":"ALT018","updatedAt":"2026-07-19T10:00:00.000Z"},{"defaultExercise":"Chest-supported dumbbe</x:v>
      </x:c>
      <x:c r="C2" s="16" t="n">
        <x:v>0</x:v>
      </x:c>
      <x:c r="D2" s="16" t="n">
        <x:v>46222.416666666664</x:v>
      </x:c>
      <x:c r="E2" s="16" t="str">
        <x:v>template</x:v>
      </x:c>
      <x:c r="F2" s="16" t="str">
        <x:v>initialised</x:v>
      </x:c>
      <x:c r="G2" s="16" t="str"/>
    </x:row>
    <x:row r="3">
      <x:c r="A3" t="n">
        <x:v>2</x:v>
      </x:c>
      <x:c r="B3" t="str">
        <x:v>ll row","alternative":"Seated cable row","reason":"Bench unavailable","notes":"Stable cable row.","id":"ALT019","updatedAt":"2026-07-19T10:00:00.000Z"},{"defaultExercise":"Chest-supported dumbbell row","alternative":"One-arm cable row","reason":"Need unilateral work","notes":"Control torso.","id":"ALT020","updatedAt":"2026-07-19T10:00:00.000Z"},{"defaultExercise":"Chest-supported dumbbell row","alternative":"Inverted row","reason":"No dumbbell setup","notes":"Bodyweight row.","id":"ALT021","updatedAt":"2026-07-19T10:00:00.000Z"},{"defaultExercise":"One-arm cable row","alternative":"Seated cable row","reason":"Want bilateral row","notes":"Use cable station.","id":"ALT022","updatedAt":"2026-07-19T10:00:00.000Z"},{"defaultExercise":"Weighted chin-up or heavy pulldown","alternative":"Cable lat pulldown","reason":"Chin-ups not ready","notes":"Progress load on cable.","id":"ALT023","updatedAt":"2026-07-19T10:00:00.000Z"},{"defaultExercise":"Weighted chin-up or heavy pulldown","alternative":"Weighted chin-up","reason":"Strong chin-ups","notes":"Use clean reps only.","id":"ALT024","updatedAt":"2026-07-19T10:00:00.000Z"},{"defaultExercise":"Cable lat pulldown or ring chin-up","alternative":"Cable lat pulldown","reason":"Need stable load","notes":"Good progression.","id":"ALT025","updatedAt":"2026-07-19T10:00:00.000Z"},{"defaultExercise":"Cable lat pulldown or ring chin-up","alternative":"Ring chin-up","reason":"Want bodyweight progression","notes":"Use assistance as required.","id":"ALT026","updatedAt":"2026-07-19T10:00:00.000Z"},{"defaultExercise":"Pulldown or chin-up","alternative":"Cable lat pulldown","reason":"RFL fatigue","notes":"Easy load control.","id":"ALT027","updatedAt":"2026-07-19T10:00:00.000Z"},{"defaultExercise":"Pulldown or chin-up","alternative":"Ring chin-up","reason":"Bodyweight option","notes":"Keep 2-3 RIR in RFL.","id":"ALT028","updatedAt":"2026-07-19T10:00:00.000Z"},{"defaultExercise":"Seated dumbbell overhead press","alternative":"Incline dumbbell press","reason":"Shoulder irritation","notes":"Use pain-free angle.","id":"ALT029","updatedAt":"2026-07-19T10:00:00.000Z"},{"defaultExercise":"Seated dumbbell overhead press","alternative":"Standing overhead press","reason":"Want barbell progression","notes":"Only if lower back feels stable.","id":"ALT030","updatedAt":"2026-07-19T10:00:00.000Z"},{"defaultExercise":"Cable lateral raise","alternative":"Dumbbell lateral raise","reason":"Cable unavailable","notes":"Keep strict and controlled.","id":"ALT031","updatedAt":"2026-07-19T10:00:00.000Z"},{"defaultExercise":"Cable lateral raise","alternative":"Lean-away cable lateral raise","reason":"Need different line of pull","notes":"Stay light.","id":"ALT032","updatedAt":"2026-07-19T10:00:00.000Z"},{"defaultExercise":"Cable rear-delt fly or face pull","alternative":"Cable rear-delt fly","reason":"Rear delt emphasis","notes":"Strict reps.","id":"ALT033","updatedAt":"2026-07-19T10:00:00.000Z"},{"defaultExercise":"Cable rear-delt fly or face pull","alternative":"Face pull","reason":"Shoulder-health emphasis","notes":"Use rope attachment.","id":"ALT034","updatedAt":"2026-07-19T10:00:00.000Z"},{"defaultExercise":"Rear-delt cable fly","alternative":"Face pull","reason":"Shoulder-friendly substitute","notes":"Keep elbows high.","id":"ALT035","updatedAt":"2026-07-19T10:00:00.000Z"},{"defaultExercise":"Cable triceps pushdown","alternative":"Overhead cable triceps extension","reason":"Need long-head work","notes":"Use pain-free elbow path.","id":"ALT036","updatedAt":"2026-07-19T10:00:00.000Z"},{"defaultExercise":"Overhead cable triceps extension","alternative":"Cable triceps pushdown","reason":"Elbow discomfort","notes":"Often more comfortable.","id":"ALT037","updatedAt":"2026-07-19T10:00:00.000Z"},{"defaultExercise":"Incline dumbbell or cable curl","alternative":"Cable curl","reason":"Elbow-friendly tension","notes":"Good default.","id":"ALT038","updatedAt":"2026-07-19T10:00:00.000Z"},{"defaultExercise":"Incline dumbbell or cable curl","alternative":"Incline dumbbell curl","reason":"Stretch emphasis","notes":"Use controlled range.","id":"ALT039","updatedAt":"2026-07-19T10:00:00.000Z"},{"defaultExercise":"Dumbbell hammer curl","alternative":"Cable curl","reason":"Elbow discomfort","notes":"Cable may feel smoother.","id":"ALT040","updatedAt":"2026-07-19T10:00:00.000Z"},{"defaultExercise":"Dead bug or Pallof press","alternative":"Dead bug","reason":"No cable needed","notes":"Low fatigue core.","id":"ALT041","updatedAt":"2026-07-19T10:00:00.000Z"},{"defaultExercise":"Dead bug or Pallof press","alternative":"Pallof press","reason":"Anti-rotation focus","notes":"Cable setup.","id":"ALT042","updatedAt":"2026-07-19T10:00:00.000Z"},{"defaultExercise":"Ab wheel or cable crunch","alternative":"Cable crunch","reason":"Lower back sensitivity","notes":"Easier to control.","id":"ALT043","updatedAt":"2026-07-19T10:00:00.000Z"},{"defaultExercise":"Ab wheel or cable crunch","alternative":"Dead bug","reason":"Fatigued RFL day","notes":"Lowest-risk option.","id":"ALT044","updatedAt":"2026-07-19T10:00:00.000Z"}],"ingredientCache":[{"id":"ING001","name":"Chicken breast","servingDescription":"100 g cooked","kcal":165,"protein":31,"carbs":0,"fat":3.6,"notes":"Example only; replace with your package/cooked-weight values.","updatedAt":"2026-07-19T10:00:00.000Z"},{"id":"ING002","name":"0% Greek yoghurt","servingDescription":"100 g","kcal":59,"protein":10.3,"carbs":3.6,"fat":0.4,"notes":"Example only; brands vary.","updatedAt":"2026-07-19T10:00:00.000Z"},{"id":"ING003","name":"Whey protein","servingDescription":"30 g scoop","kcal":120,"protein":24,"carbs":3,"fat":2,"notes":"Use the exact label values.","updatedAt":"2026-07-19T10:00:00.000Z"},{"id":"ING004","name":"Egg whites","servingDescription":"100 g","kcal":52,"protein":10.9,"carbs":0.7,"fat":0.2,"notes":"Example only.","updatedAt":"2026-07-19T10:00:00.000Z"},{"id":"ING005","name":"Cooked white rice","servingDescription":"100 g","kcal":130,"protein":2.4,"carbs":28.2,"fat":0.3,"notes":"Cooked weight; example only.","updatedAt":"2026-07-19T10:00:00.000Z"},{"id":"ING006","name":"Boiled potato","servingDescription":"100 g","kcal":87,"protein":1.9,"carbs":20.1,"fat":0.1,"notes":"Example only.","updatedAt":"2026-07-19T10:00:00.000Z"},{"id":"ING007","name":"Tuna in water, drained","servingDescription":"100 g","kcal":116,"protein":25.5,"carbs":0,"fat":0.8,"notes":"Check the can label.","updatedAt":"2026-07-19T10:00:00.000Z"},{"id":"ING008","name":"Low-fat cottage cheese","servingDescription":"100 g","kcal":82,"protein":11.1,"carbs":3.4,"fat":2.3,"notes":"Brands vary.","updatedAt":"2026-07-19T10:00:00.000Z"},{"id":"ING009","name":"Lean turkey mince","servingDescription":"100 g","kcal":145,"protein":21,"carbs":0,"fat":6,"notes":"Use your package values.","updatedAt":"2026-07-19T10:00:00.000Z"},{"id":"ING010","name":"Courgette","servingDescription":"100 g","kcal":17,"protein":1.2,"carbs":3.1,"fat":0.3,"notes":"Example only.","updatedAt":"2026-07-19T10:00:00.000Z"}],"recipes":[{"id":"RCP001","name":"Chicken courgette rice bowl","category":"Normal cut","servings":2,"totalKcal":780,"protein":92,"carbs":72,"fat":14,"rflFriendly":"No","noBellPeppers":"Yes","noShellfish":"Yes","notes":"Example values only. No bell peppers; adjust to your ingredients.","favourite":false,"instructions":"","ingredients":[],"updatedAt":"2026-07-19T10:00:00.000Z"},{"id":"RCP002","name":"Greek yoghurt whey bowl","category":"High protein","servings":1,"totalKcal":410,"protein":55,"carbs":32,"fat":6,"rflFriendly":"Yes","noBellPeppers":"Yes","noShellfish":"Yes","notes":"Good quick protein option; use exact label values.","favourite":true,"instructions":"","ingredients":[],"updatedAt":"2026-07-19T10:00:00.000Z"},{"id":"RCP003","name":"Egg-white spinach omelette","category":"RFL-friendly","servings":1,"totalKcal":260,"protein":42,"carbs":8,"fat":6,"rflFriendly":"Yes","noBellPeppers":"Yes","noShellfish":"Yes","notes":"Use herbs, spinach, mushrooms; avoid bell peppers.","favourite":true,"instructions":"","ingredients":[],"updatedAt":"2026-07-19T10:00:00.000Z"},{"id":"RCP004","name":"Lean turkey tomato mince","category":"Batch cook","servings":4,"totalKcal":1280,"protein":156,"carbs":64,"fat":36,"rflFriendly":"Maybe","noBellPeppers":"Yes","noShellfish":"Yes","notes":"Serve with rice/potatoes outside RFL or vegetables during RFL.","favourite":false,"instructions":"","ingredients":[],"updatedAt":"2026-07-19T10:00:00.000Z"},{"id":"RCP005","name":"Tuna potato salad","category":"Normal cut","servings":2,"totalKcal":650,"protein":62,"carbs":82,"fat":8,"rflFriendly":"No","noBellPeppers":"Yes","noShellfish":"Yes","notes":"Tuna is not shellfish; avoid mayo-heavy versions.","favourite":false,"instructions":"","ingredients":[],"updatedAt":"2026-07-19T10:00:00.000Z"},{"id":"RCP006","name":"Cottage cheese chicken salad","category":"RFL-friendly","servings":1,"totalKcal":360,"protein":60,"carbs":14,"fat":7,"rflFriendly":"Yes","noBellPeppers":"Yes","noShellfish":"Yes","notes":"Use cucumber, lettuce, tomato; no bell peppers.","favourite":true,"instructions":"","ingredients":[],"updatedAt":"2026-07-19T10:00:00.000Z"}],"workoutSessions":[],"workoutLogs":[],"foodLog":[],"bodyMetrics":[],"dailyCheckins":[],"dietPhases":[],"cardioLogs":[],"progressPhotos":[]}</x:v>
      </x:c>
      <x:c r="C3" t="n">
        <x:v>0</x:v>
      </x:c>
      <x:c r="D3" t="n">
        <x:v>46222.416666666664</x:v>
      </x:c>
      <x:c r="E3" t="str">
        <x:v>template</x:v>
      </x:c>
      <x:c r="F3" t="str">
        <x:v>initialised</x:v>
      </x:c>
      <x:c r="G3" t="str"/>
    </x:row>
    <x:row r="4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>
      <x:c r="A6"/>
      <x:c r="B6"/>
      <x:c r="C6"/>
      <x:c r="D6"/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/>
      <x:c r="B8"/>
      <x:c r="C8"/>
      <x:c r="D8"/>
      <x:c r="E8"/>
      <x:c r="F8"/>
      <x:c r="G8"/>
    </x:row>
    <x:row r="9">
      <x:c r="A9"/>
      <x:c r="B9"/>
      <x:c r="C9"/>
      <x:c r="D9"/>
      <x:c r="E9"/>
      <x:c r="F9"/>
      <x:c r="G9"/>
    </x:row>
    <x:row r="10">
      <x:c r="A10"/>
      <x:c r="B10"/>
      <x:c r="C10"/>
      <x:c r="D10"/>
      <x:c r="E10"/>
      <x:c r="F10"/>
      <x:c r="G10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4" hidden="0" customWidth="1"/>
    <x:col min="5" max="5" width="30" hidden="0" customWidth="1"/>
    <x:col min="6" max="6" width="30" hidden="0" customWidth="1"/>
  </x:cols>
  <x:sheetData>
    <x:row r="1">
      <x:c r="A1" s="5" t="str">
        <x:v>Weekly Review</x:v>
      </x:c>
      <x:c r="B1" s="5"/>
      <x:c r="C1" s="5"/>
      <x:c r="D1" s="5"/>
      <x:c r="E1" s="5"/>
      <x:c r="F1" s="5"/>
    </x:row>
    <x:row r="3">
      <x:c r="A3" t="str">
        <x:v>Week start</x:v>
      </x:c>
      <x:c r="B3" s="50" t="n">
        <x:f>TODAY()-WEEKDAY(TODAY(),2)+1</x:f>
        <x:v>46216</x:v>
      </x:c>
    </x:row>
    <x:row r="5">
      <x:c r="A5" s="22" t="str">
        <x:v>Metric</x:v>
      </x:c>
      <x:c r="B5" s="22" t="str">
        <x:v>Value</x:v>
      </x:c>
      <x:c r="D5" s="22" t="str">
        <x:v>Reflection</x:v>
      </x:c>
      <x:c r="E5" s="22" t="str">
        <x:v>Notes</x:v>
      </x:c>
      <x:c r="F5" s="22" t="str">
        <x:v>Next action</x:v>
      </x:c>
    </x:row>
    <x:row r="6">
      <x:c r="A6" s="12" t="str">
        <x:v>Average weight kg</x:v>
      </x:c>
      <x:c r="B6" s="31" t="str">
        <x:f>IFERROR(AVERAGEIFS(Body_Metrics!$C:$C,Body_Metrics!$B:$B,"&gt;="&amp;$B$3,Body_Metrics!$B:$B,"&lt;"&amp;$B$3+7),"")</x:f>
      </x:c>
      <x:c r="D6" s="12" t="str">
        <x:v>Training performance</x:v>
      </x:c>
      <x:c r="E6" s="16"/>
      <x:c r="F6" s="16"/>
    </x:row>
    <x:row r="7">
      <x:c r="A7" s="12" t="str">
        <x:v>Weight change vs prior week kg</x:v>
      </x:c>
      <x:c r="B7" s="31" t="str">
        <x:f>IFERROR(B6-AVERAGEIFS(Body_Metrics!$C:$C,Body_Metrics!$B:$B,"&gt;="&amp;$B$3-7,Body_Metrics!$B:$B,"&lt;"&amp;$B$3),"")</x:f>
      </x:c>
      <x:c r="D7" s="12" t="str">
        <x:v>Diet adherence</x:v>
      </x:c>
      <x:c r="E7" s="16"/>
      <x:c r="F7" s="16"/>
    </x:row>
    <x:row r="8">
      <x:c r="A8" s="12" t="str">
        <x:v>Workouts</x:v>
      </x:c>
      <x:c r="B8" s="31" t="n">
        <x:f>COUNTIFS(Workout_Sessions!$B:$B,"&gt;="&amp;$B$3,Workout_Sessions!$B:$B,"&lt;"&amp;$B$3+7,Workout_Sessions!$L:$L,TRUE)</x:f>
        <x:v>0</x:v>
      </x:c>
      <x:c r="D8" s="12" t="str">
        <x:v>Hunger / energy</x:v>
      </x:c>
      <x:c r="E8" s="16"/>
      <x:c r="F8" s="16"/>
    </x:row>
    <x:row r="9">
      <x:c r="A9" s="12" t="str">
        <x:v>Work sets</x:v>
      </x:c>
      <x:c r="B9" s="31" t="n">
        <x:f>COUNTIFS(Workout_Sets!$C:$C,"&gt;="&amp;$B$3,Workout_Sets!$C:$C,"&lt;"&amp;$B$3+7,Workout_Sets!$I:$I,FALSE)</x:f>
        <x:v>0</x:v>
      </x:c>
      <x:c r="D9" s="12" t="str">
        <x:v>Sleep / stress</x:v>
      </x:c>
      <x:c r="E9" s="16"/>
      <x:c r="F9" s="16"/>
    </x:row>
    <x:row r="10">
      <x:c r="A10" s="12" t="str">
        <x:v>Volume kg</x:v>
      </x:c>
      <x:c r="B10" s="31" t="n">
        <x:f>SUMIFS(Workout_Sets!$N:$N,Workout_Sets!$C:$C,"&gt;="&amp;$B$3,Workout_Sets!$C:$C,"&lt;"&amp;$B$3+7,Workout_Sets!$I:$I,FALSE)</x:f>
        <x:v>0</x:v>
      </x:c>
      <x:c r="D10" s="12" t="str">
        <x:v>Pain / recovery</x:v>
      </x:c>
      <x:c r="E10" s="16"/>
      <x:c r="F10" s="16"/>
    </x:row>
    <x:row r="11">
      <x:c r="A11" s="12" t="str">
        <x:v>Average steps</x:v>
      </x:c>
      <x:c r="B11" s="31" t="str">
        <x:f>IFERROR(AVERAGEIFS(Daily_Checkins!$C:$C,Daily_Checkins!$B:$B,"&gt;="&amp;$B$3,Daily_Checkins!$B:$B,"&lt;"&amp;$B$3+7),"")</x:f>
      </x:c>
      <x:c r="D11" s="12" t="str">
        <x:v>Plan for next week</x:v>
      </x:c>
      <x:c r="E11" s="16"/>
      <x:c r="F11" s="16"/>
    </x:row>
    <x:row r="12">
      <x:c r="A12" s="12" t="str">
        <x:v>Diet adherence %</x:v>
      </x:c>
      <x:c r="B12" s="31" t="str">
        <x:f>IFERROR(AVERAGEIFS(Daily_Checkins!$I:$I,Daily_Checkins!$B:$B,"&gt;="&amp;$B$3,Daily_Checkins!$B:$B,"&lt;"&amp;$B$3+7),"")</x:f>
      </x:c>
    </x:row>
  </x:sheetData>
  <x:mergeCells>
    <x:mergeCell ref="A1:F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2" t="str">
        <x:v>DietModes</x:v>
      </x:c>
      <x:c r="B1" s="22" t="str">
        <x:v>RFLFriendly</x:v>
      </x:c>
      <x:c r="C1" s="22" t="str">
        <x:v>Boolean</x:v>
      </x:c>
      <x:c r="D1" s="22" t="str">
        <x:v>PhaseStatus</x:v>
      </x:c>
      <x:c r="E1" s="22" t="str">
        <x:v>Meals</x:v>
      </x:c>
      <x:c r="F1" s="22" t="str">
        <x:v>Days</x:v>
      </x:c>
    </x:row>
    <x:row r="2">
      <x:c r="A2" t="str">
        <x:v>Normal / moderate deficit</x:v>
      </x:c>
      <x:c r="B2" t="str">
        <x:v>Yes</x:v>
      </x:c>
      <x:c r="C2" t="str">
        <x:v>TRUE</x:v>
      </x:c>
      <x:c r="D2" t="str">
        <x:v>Active</x:v>
      </x:c>
      <x:c r="E2" t="str">
        <x:v>Breakfast</x:v>
      </x:c>
      <x:c r="F2" t="str">
        <x:v>Monday</x:v>
      </x:c>
    </x:row>
    <x:row r="3">
      <x:c r="A3" t="str">
        <x:v>RFL / PSMF</x:v>
      </x:c>
      <x:c r="B3" t="str">
        <x:v>Maybe</x:v>
      </x:c>
      <x:c r="C3" t="str">
        <x:v>FALSE</x:v>
      </x:c>
      <x:c r="D3" t="str">
        <x:v>Completed</x:v>
      </x:c>
      <x:c r="E3" t="str">
        <x:v>Lunch</x:v>
      </x:c>
      <x:c r="F3" t="str">
        <x:v>Tuesday</x:v>
      </x:c>
    </x:row>
    <x:row r="4">
      <x:c r="A4" t="str">
        <x:v>Maintenance / transition</x:v>
      </x:c>
      <x:c r="B4" t="str">
        <x:v>No</x:v>
      </x:c>
      <x:c r="C4" t="str"/>
      <x:c r="D4" t="str">
        <x:v>Planned</x:v>
      </x:c>
      <x:c r="E4" t="str">
        <x:v>Dinner</x:v>
      </x:c>
      <x:c r="F4" t="str">
        <x:v>Wednesday</x:v>
      </x:c>
    </x:row>
    <x:row r="5">
      <x:c r="A5" t="str"/>
      <x:c r="B5" t="str"/>
      <x:c r="C5" t="str"/>
      <x:c r="D5" t="str"/>
      <x:c r="E5" t="str">
        <x:v>Snack</x:v>
      </x:c>
      <x:c r="F5" t="str">
        <x:v>Thursday</x:v>
      </x:c>
    </x:row>
    <x:row r="6">
      <x:c r="A6" t="str"/>
      <x:c r="B6" t="str"/>
      <x:c r="C6" t="str"/>
      <x:c r="D6" t="str"/>
      <x:c r="E6" t="str">
        <x:v>Post-workout</x:v>
      </x:c>
      <x:c r="F6" t="str">
        <x:v>Friday</x:v>
      </x:c>
    </x:row>
    <x:row r="7">
      <x:c r="A7" t="str"/>
      <x:c r="B7" t="str"/>
      <x:c r="C7" t="str"/>
      <x:c r="D7" t="str"/>
      <x:c r="E7" t="str"/>
      <x:c r="F7" t="str">
        <x:v>Saturday</x:v>
      </x:c>
    </x:row>
    <x:row r="8">
      <x:c r="A8" t="str"/>
      <x:c r="B8" t="str"/>
      <x:c r="C8" t="str"/>
      <x:c r="D8" t="str"/>
      <x:c r="E8" t="str"/>
      <x:c r="F8" t="str">
        <x:v>Sunday</x:v>
      </x:c>
    </x:row>
  </x:sheetData>
  <x:pageMargins left="0.7" right="0.7" top="0.75" bottom="0.75" header="0.3" footer="0.3"/>
</x:worksheet>
</file>